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0E9C90F5-E0BA-47E9-913C-BC27D9B6FD59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Data" sheetId="1" r:id="rId1"/>
    <sheet name="Sheet1" sheetId="9" r:id="rId2"/>
    <sheet name="AUDITOR_MAPPING" sheetId="7" r:id="rId3"/>
    <sheet name="auditor_1" sheetId="2" r:id="rId4"/>
    <sheet name="auditor_2" sheetId="3" r:id="rId5"/>
    <sheet name="as_table" sheetId="4" r:id="rId6"/>
    <sheet name="auditSummary" sheetId="8" r:id="rId7"/>
    <sheet name="Recently_Audit" sheetId="5" r:id="rId8"/>
    <sheet name="sheet6" sheetId="6" r:id="rId9"/>
    <sheet name="Sheet2" sheetId="10" r:id="rId10"/>
  </sheets>
  <definedNames>
    <definedName name="_xlnm._FilterDatabase" localSheetId="8" hidden="1">sheet6!$B$1:$I$1000</definedName>
    <definedName name="_xlnm.Extract" localSheetId="7">Recently_Audit!$B$1:$I$1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0" l="1"/>
  <c r="Q10" i="10"/>
  <c r="Q9" i="10"/>
  <c r="Q8" i="10"/>
  <c r="Q7" i="10"/>
  <c r="Q6" i="10"/>
  <c r="Q5" i="10"/>
  <c r="Q4" i="10"/>
  <c r="Q3" i="10"/>
  <c r="Q2" i="10"/>
  <c r="Q1" i="10"/>
  <c r="G3" i="2" l="1"/>
  <c r="AC3" i="6" l="1"/>
  <c r="AC1" i="6"/>
  <c r="AC5" i="6"/>
  <c r="AD2" i="6" l="1"/>
  <c r="AD1" i="6"/>
  <c r="Z2" i="6"/>
  <c r="Z1" i="6"/>
  <c r="B2" i="6" s="1"/>
  <c r="A2" i="6" l="1"/>
  <c r="I2" i="6"/>
  <c r="A2" i="8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C2" i="8" l="1"/>
  <c r="M2" i="8"/>
  <c r="B20" i="6"/>
  <c r="I20" i="6" s="1"/>
  <c r="Q2" i="1"/>
  <c r="Q3" i="1"/>
  <c r="Q4" i="1"/>
  <c r="Q5" i="1"/>
  <c r="Q6" i="1"/>
  <c r="Q7" i="1"/>
  <c r="Q8" i="1"/>
  <c r="Q9" i="1"/>
  <c r="Q10" i="1"/>
  <c r="Q11" i="1"/>
  <c r="Q1" i="1"/>
  <c r="G2" i="2"/>
  <c r="G20" i="6" l="1"/>
  <c r="B141" i="6"/>
  <c r="B102" i="6"/>
  <c r="G102" i="6" s="1"/>
  <c r="B111" i="6"/>
  <c r="G111" i="6" s="1"/>
  <c r="B34" i="6"/>
  <c r="G34" i="6" s="1"/>
  <c r="B112" i="6"/>
  <c r="G112" i="6" s="1"/>
  <c r="B67" i="6"/>
  <c r="I67" i="6" s="1"/>
  <c r="B37" i="6"/>
  <c r="G37" i="6" s="1"/>
  <c r="B162" i="6"/>
  <c r="D162" i="6" s="1"/>
  <c r="B139" i="6"/>
  <c r="E139" i="6" s="1"/>
  <c r="B120" i="6"/>
  <c r="G120" i="6" s="1"/>
  <c r="B77" i="6"/>
  <c r="G77" i="6" s="1"/>
  <c r="B23" i="6"/>
  <c r="F23" i="6" s="1"/>
  <c r="K23" i="6" s="1"/>
  <c r="B161" i="6"/>
  <c r="H161" i="6" s="1"/>
  <c r="B150" i="6"/>
  <c r="G150" i="6" s="1"/>
  <c r="B137" i="6"/>
  <c r="G137" i="6" s="1"/>
  <c r="B119" i="6"/>
  <c r="H119" i="6" s="1"/>
  <c r="B108" i="6"/>
  <c r="D108" i="6" s="1"/>
  <c r="B98" i="6"/>
  <c r="D98" i="6" s="1"/>
  <c r="B86" i="6"/>
  <c r="G86" i="6" s="1"/>
  <c r="B74" i="6"/>
  <c r="C74" i="6" s="1"/>
  <c r="B63" i="6"/>
  <c r="B33" i="6"/>
  <c r="A33" i="6" s="1"/>
  <c r="B7" i="6"/>
  <c r="B14" i="6"/>
  <c r="B18" i="6"/>
  <c r="A18" i="6" s="1"/>
  <c r="B25" i="6"/>
  <c r="G25" i="6" s="1"/>
  <c r="B41" i="6"/>
  <c r="B47" i="6"/>
  <c r="G47" i="6" s="1"/>
  <c r="B60" i="6"/>
  <c r="B65" i="6"/>
  <c r="E65" i="6" s="1"/>
  <c r="B70" i="6"/>
  <c r="G70" i="6" s="1"/>
  <c r="B75" i="6"/>
  <c r="E75" i="6" s="1"/>
  <c r="B80" i="6"/>
  <c r="A80" i="6" s="1"/>
  <c r="B97" i="6"/>
  <c r="G97" i="6" s="1"/>
  <c r="B101" i="6"/>
  <c r="G101" i="6" s="1"/>
  <c r="B124" i="6"/>
  <c r="G124" i="6" s="1"/>
  <c r="B127" i="6"/>
  <c r="A127" i="6" s="1"/>
  <c r="B130" i="6"/>
  <c r="D130" i="6" s="1"/>
  <c r="B142" i="6"/>
  <c r="G142" i="6" s="1"/>
  <c r="B151" i="6"/>
  <c r="D151" i="6" s="1"/>
  <c r="B160" i="6"/>
  <c r="D160" i="6" s="1"/>
  <c r="B28" i="6"/>
  <c r="G28" i="6" s="1"/>
  <c r="B44" i="6"/>
  <c r="C44" i="6" s="1"/>
  <c r="B52" i="6"/>
  <c r="H52" i="6" s="1"/>
  <c r="B55" i="6"/>
  <c r="A55" i="6" s="1"/>
  <c r="B61" i="6"/>
  <c r="C61" i="6" s="1"/>
  <c r="B66" i="6"/>
  <c r="G66" i="6" s="1"/>
  <c r="B91" i="6"/>
  <c r="A91" i="6" s="1"/>
  <c r="B113" i="6"/>
  <c r="G113" i="6" s="1"/>
  <c r="B128" i="6"/>
  <c r="G128" i="6" s="1"/>
  <c r="B147" i="6"/>
  <c r="G147" i="6" s="1"/>
  <c r="B15" i="6"/>
  <c r="B22" i="6"/>
  <c r="H22" i="6" s="1"/>
  <c r="B32" i="6"/>
  <c r="B45" i="6"/>
  <c r="G45" i="6" s="1"/>
  <c r="B53" i="6"/>
  <c r="B92" i="6"/>
  <c r="B109" i="6"/>
  <c r="G109" i="6" s="1"/>
  <c r="B125" i="6"/>
  <c r="G125" i="6" s="1"/>
  <c r="B138" i="6"/>
  <c r="F138" i="6" s="1"/>
  <c r="K138" i="6" s="1"/>
  <c r="B152" i="6"/>
  <c r="F152" i="6" s="1"/>
  <c r="K152" i="6" s="1"/>
  <c r="B21" i="6"/>
  <c r="D21" i="6" s="1"/>
  <c r="B35" i="6"/>
  <c r="H35" i="6" s="1"/>
  <c r="B42" i="6"/>
  <c r="A42" i="6" s="1"/>
  <c r="B48" i="6"/>
  <c r="A48" i="6" s="1"/>
  <c r="B58" i="6"/>
  <c r="G58" i="6" s="1"/>
  <c r="B87" i="6"/>
  <c r="G87" i="6" s="1"/>
  <c r="B117" i="6"/>
  <c r="G117" i="6" s="1"/>
  <c r="B131" i="6"/>
  <c r="D131" i="6" s="1"/>
  <c r="B156" i="6"/>
  <c r="B19" i="6"/>
  <c r="G19" i="6" s="1"/>
  <c r="B36" i="6"/>
  <c r="H36" i="6" s="1"/>
  <c r="B56" i="6"/>
  <c r="B62" i="6"/>
  <c r="E62" i="6" s="1"/>
  <c r="B76" i="6"/>
  <c r="B88" i="6"/>
  <c r="G88" i="6" s="1"/>
  <c r="B135" i="6"/>
  <c r="G135" i="6" s="1"/>
  <c r="B143" i="6"/>
  <c r="B24" i="6"/>
  <c r="G24" i="6" s="1"/>
  <c r="B26" i="6"/>
  <c r="F26" i="6" s="1"/>
  <c r="K26" i="6" s="1"/>
  <c r="B38" i="6"/>
  <c r="B50" i="6"/>
  <c r="F50" i="6" s="1"/>
  <c r="K50" i="6" s="1"/>
  <c r="B64" i="6"/>
  <c r="G64" i="6" s="1"/>
  <c r="B68" i="6"/>
  <c r="G68" i="6" s="1"/>
  <c r="B72" i="6"/>
  <c r="G72" i="6" s="1"/>
  <c r="B78" i="6"/>
  <c r="F78" i="6" s="1"/>
  <c r="K78" i="6" s="1"/>
  <c r="B82" i="6"/>
  <c r="G82" i="6" s="1"/>
  <c r="B99" i="6"/>
  <c r="B106" i="6"/>
  <c r="G106" i="6" s="1"/>
  <c r="B110" i="6"/>
  <c r="H110" i="6" s="1"/>
  <c r="B114" i="6"/>
  <c r="C114" i="6" s="1"/>
  <c r="B118" i="6"/>
  <c r="G118" i="6" s="1"/>
  <c r="B121" i="6"/>
  <c r="I121" i="6" s="1"/>
  <c r="B129" i="6"/>
  <c r="A129" i="6" s="1"/>
  <c r="B136" i="6"/>
  <c r="G136" i="6" s="1"/>
  <c r="B144" i="6"/>
  <c r="I144" i="6" s="1"/>
  <c r="B153" i="6"/>
  <c r="C153" i="6" s="1"/>
  <c r="B158" i="6"/>
  <c r="H158" i="6" s="1"/>
  <c r="B30" i="6"/>
  <c r="I30" i="6" s="1"/>
  <c r="B46" i="6"/>
  <c r="G46" i="6" s="1"/>
  <c r="B51" i="6"/>
  <c r="G51" i="6" s="1"/>
  <c r="B54" i="6"/>
  <c r="G54" i="6" s="1"/>
  <c r="B85" i="6"/>
  <c r="B89" i="6"/>
  <c r="E89" i="6" s="1"/>
  <c r="B94" i="6"/>
  <c r="H94" i="6" s="1"/>
  <c r="B100" i="6"/>
  <c r="D100" i="6" s="1"/>
  <c r="B103" i="6"/>
  <c r="A103" i="6" s="1"/>
  <c r="B115" i="6"/>
  <c r="A115" i="6" s="1"/>
  <c r="B122" i="6"/>
  <c r="B126" i="6"/>
  <c r="B140" i="6"/>
  <c r="G140" i="6" s="1"/>
  <c r="B149" i="6"/>
  <c r="D149" i="6" s="1"/>
  <c r="B154" i="6"/>
  <c r="I154" i="6" s="1"/>
  <c r="B163" i="6"/>
  <c r="G163" i="6" s="1"/>
  <c r="B17" i="6"/>
  <c r="E17" i="6" s="1"/>
  <c r="B27" i="6"/>
  <c r="G27" i="6" s="1"/>
  <c r="B148" i="6"/>
  <c r="F148" i="6" s="1"/>
  <c r="K148" i="6" s="1"/>
  <c r="B107" i="6"/>
  <c r="E107" i="6" s="1"/>
  <c r="B96" i="6"/>
  <c r="D96" i="6" s="1"/>
  <c r="B84" i="6"/>
  <c r="E84" i="6" s="1"/>
  <c r="B73" i="6"/>
  <c r="E73" i="6" s="1"/>
  <c r="B59" i="6"/>
  <c r="E59" i="6" s="1"/>
  <c r="B159" i="6"/>
  <c r="G159" i="6" s="1"/>
  <c r="B146" i="6"/>
  <c r="G146" i="6" s="1"/>
  <c r="B105" i="6"/>
  <c r="E105" i="6" s="1"/>
  <c r="B95" i="6"/>
  <c r="B83" i="6"/>
  <c r="G83" i="6" s="1"/>
  <c r="B71" i="6"/>
  <c r="C71" i="6" s="1"/>
  <c r="B43" i="6"/>
  <c r="B31" i="6"/>
  <c r="H31" i="6" s="1"/>
  <c r="B132" i="6"/>
  <c r="G132" i="6" s="1"/>
  <c r="B134" i="6"/>
  <c r="G134" i="6" s="1"/>
  <c r="B93" i="6"/>
  <c r="D93" i="6" s="1"/>
  <c r="B16" i="6"/>
  <c r="I16" i="6" s="1"/>
  <c r="B164" i="6"/>
  <c r="G164" i="6" s="1"/>
  <c r="B79" i="6"/>
  <c r="E79" i="6" s="1"/>
  <c r="B157" i="6"/>
  <c r="H157" i="6" s="1"/>
  <c r="B145" i="6"/>
  <c r="E145" i="6" s="1"/>
  <c r="B116" i="6"/>
  <c r="G116" i="6" s="1"/>
  <c r="B40" i="6"/>
  <c r="D40" i="6" s="1"/>
  <c r="B29" i="6"/>
  <c r="F29" i="6" s="1"/>
  <c r="K29" i="6" s="1"/>
  <c r="B165" i="6"/>
  <c r="B155" i="6"/>
  <c r="G155" i="6" s="1"/>
  <c r="B133" i="6"/>
  <c r="C133" i="6" s="1"/>
  <c r="B123" i="6"/>
  <c r="C123" i="6" s="1"/>
  <c r="B104" i="6"/>
  <c r="G104" i="6" s="1"/>
  <c r="B90" i="6"/>
  <c r="G90" i="6" s="1"/>
  <c r="B81" i="6"/>
  <c r="H81" i="6" s="1"/>
  <c r="B69" i="6"/>
  <c r="E69" i="6" s="1"/>
  <c r="B57" i="6"/>
  <c r="G57" i="6" s="1"/>
  <c r="B49" i="6"/>
  <c r="G49" i="6" s="1"/>
  <c r="B39" i="6"/>
  <c r="C39" i="6" s="1"/>
  <c r="A76" i="6"/>
  <c r="H34" i="6"/>
  <c r="D20" i="6"/>
  <c r="C20" i="6"/>
  <c r="E20" i="6"/>
  <c r="F20" i="6"/>
  <c r="K20" i="6" s="1"/>
  <c r="H20" i="6"/>
  <c r="E132" i="6"/>
  <c r="D30" i="6"/>
  <c r="F30" i="6"/>
  <c r="K30" i="6" s="1"/>
  <c r="A30" i="6"/>
  <c r="H30" i="6"/>
  <c r="A74" i="6"/>
  <c r="A111" i="6"/>
  <c r="D111" i="6"/>
  <c r="E111" i="6"/>
  <c r="E147" i="6"/>
  <c r="D159" i="6"/>
  <c r="D147" i="6"/>
  <c r="I111" i="6"/>
  <c r="D77" i="6"/>
  <c r="A77" i="6"/>
  <c r="I77" i="6"/>
  <c r="D41" i="6"/>
  <c r="H41" i="6"/>
  <c r="A41" i="6"/>
  <c r="F159" i="6"/>
  <c r="K159" i="6" s="1"/>
  <c r="F147" i="6"/>
  <c r="K147" i="6" s="1"/>
  <c r="C162" i="6"/>
  <c r="C159" i="6"/>
  <c r="C147" i="6"/>
  <c r="C132" i="6"/>
  <c r="A125" i="6"/>
  <c r="D125" i="6"/>
  <c r="H111" i="6"/>
  <c r="D101" i="6"/>
  <c r="H76" i="6"/>
  <c r="A20" i="6"/>
  <c r="I159" i="6"/>
  <c r="I147" i="6"/>
  <c r="F111" i="6"/>
  <c r="K111" i="6" s="1"/>
  <c r="F103" i="6"/>
  <c r="K103" i="6" s="1"/>
  <c r="E102" i="6"/>
  <c r="E90" i="6"/>
  <c r="F90" i="6"/>
  <c r="K90" i="6" s="1"/>
  <c r="D52" i="6"/>
  <c r="A147" i="6"/>
  <c r="H159" i="6"/>
  <c r="C111" i="6"/>
  <c r="E64" i="6"/>
  <c r="E25" i="6"/>
  <c r="C64" i="6"/>
  <c r="A64" i="6"/>
  <c r="H23" i="6"/>
  <c r="C41" i="6"/>
  <c r="F76" i="6"/>
  <c r="K76" i="6" s="1"/>
  <c r="F36" i="6"/>
  <c r="K36" i="6" s="1"/>
  <c r="F77" i="6"/>
  <c r="K77" i="6" s="1"/>
  <c r="E76" i="6"/>
  <c r="C76" i="6"/>
  <c r="I41" i="6"/>
  <c r="C77" i="6"/>
  <c r="I76" i="6"/>
  <c r="C47" i="6"/>
  <c r="F41" i="6"/>
  <c r="K41" i="6" s="1"/>
  <c r="B6" i="6"/>
  <c r="B13" i="6"/>
  <c r="A13" i="8" s="1"/>
  <c r="B12" i="6"/>
  <c r="B4" i="6"/>
  <c r="B11" i="6"/>
  <c r="B3" i="6"/>
  <c r="B10" i="6"/>
  <c r="B9" i="6"/>
  <c r="B8" i="6"/>
  <c r="B5" i="6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L3" i="3"/>
  <c r="K3" i="3"/>
  <c r="J3" i="3"/>
  <c r="I3" i="3"/>
  <c r="H3" i="3"/>
  <c r="G3" i="3"/>
  <c r="L2" i="3"/>
  <c r="K2" i="3"/>
  <c r="J2" i="3"/>
  <c r="I2" i="3"/>
  <c r="H2" i="3"/>
  <c r="G2" i="3"/>
  <c r="L7" i="2"/>
  <c r="L6" i="2"/>
  <c r="L5" i="2"/>
  <c r="L4" i="2"/>
  <c r="L3" i="2"/>
  <c r="K7" i="2"/>
  <c r="K6" i="2"/>
  <c r="K5" i="2"/>
  <c r="K4" i="2"/>
  <c r="K3" i="2"/>
  <c r="J7" i="2"/>
  <c r="J6" i="2"/>
  <c r="J5" i="2"/>
  <c r="J4" i="2"/>
  <c r="J3" i="2"/>
  <c r="I7" i="2"/>
  <c r="I6" i="2"/>
  <c r="I5" i="2"/>
  <c r="I4" i="2"/>
  <c r="I3" i="2"/>
  <c r="H7" i="2"/>
  <c r="H6" i="2"/>
  <c r="H5" i="2"/>
  <c r="H4" i="2"/>
  <c r="H3" i="2"/>
  <c r="G4" i="2"/>
  <c r="AH2" i="6" s="1"/>
  <c r="G5" i="2"/>
  <c r="G6" i="2"/>
  <c r="G7" i="2"/>
  <c r="L2" i="2"/>
  <c r="K2" i="2"/>
  <c r="J2" i="2"/>
  <c r="I2" i="2"/>
  <c r="H2" i="2"/>
  <c r="A44" i="6" l="1"/>
  <c r="E87" i="6"/>
  <c r="H74" i="6"/>
  <c r="I44" i="6"/>
  <c r="E44" i="6"/>
  <c r="H114" i="6"/>
  <c r="I114" i="6"/>
  <c r="H7" i="6"/>
  <c r="D7" i="8" s="1"/>
  <c r="Q7" i="8" s="1"/>
  <c r="A7" i="8"/>
  <c r="G5" i="6"/>
  <c r="I5" i="8" s="1"/>
  <c r="O5" i="8" s="1"/>
  <c r="A5" i="8"/>
  <c r="H44" i="6"/>
  <c r="E116" i="6"/>
  <c r="G8" i="6"/>
  <c r="I8" i="8" s="1"/>
  <c r="O8" i="8" s="1"/>
  <c r="A8" i="8"/>
  <c r="D116" i="6"/>
  <c r="G9" i="6"/>
  <c r="I9" i="8" s="1"/>
  <c r="O9" i="8" s="1"/>
  <c r="A9" i="8"/>
  <c r="C87" i="6"/>
  <c r="H87" i="6"/>
  <c r="A17" i="6"/>
  <c r="G3" i="6"/>
  <c r="I3" i="8" s="1"/>
  <c r="O3" i="8" s="1"/>
  <c r="A3" i="8"/>
  <c r="F44" i="6"/>
  <c r="K44" i="6" s="1"/>
  <c r="G11" i="6"/>
  <c r="I11" i="8" s="1"/>
  <c r="O11" i="8" s="1"/>
  <c r="A11" i="8"/>
  <c r="F87" i="6"/>
  <c r="K87" i="6" s="1"/>
  <c r="A87" i="6"/>
  <c r="E101" i="6"/>
  <c r="G10" i="6"/>
  <c r="I10" i="8" s="1"/>
  <c r="O10" i="8" s="1"/>
  <c r="A10" i="8"/>
  <c r="G4" i="6"/>
  <c r="I4" i="8" s="1"/>
  <c r="O4" i="8" s="1"/>
  <c r="A4" i="8"/>
  <c r="F15" i="6"/>
  <c r="K15" i="6" s="1"/>
  <c r="A15" i="8"/>
  <c r="C15" i="8" s="1"/>
  <c r="I87" i="6"/>
  <c r="D87" i="6"/>
  <c r="G12" i="6"/>
  <c r="I12" i="8" s="1"/>
  <c r="O12" i="8" s="1"/>
  <c r="A12" i="8"/>
  <c r="C103" i="6"/>
  <c r="A101" i="6"/>
  <c r="E103" i="6"/>
  <c r="E86" i="6"/>
  <c r="C13" i="8"/>
  <c r="M13" i="8"/>
  <c r="H77" i="6"/>
  <c r="E114" i="6"/>
  <c r="H103" i="6"/>
  <c r="D103" i="6"/>
  <c r="A86" i="6"/>
  <c r="I98" i="6"/>
  <c r="G6" i="6"/>
  <c r="I6" i="8" s="1"/>
  <c r="O6" i="8" s="1"/>
  <c r="A6" i="8"/>
  <c r="E77" i="6"/>
  <c r="I17" i="6"/>
  <c r="I125" i="6"/>
  <c r="D114" i="6"/>
  <c r="D86" i="6"/>
  <c r="H125" i="6"/>
  <c r="F86" i="6"/>
  <c r="K86" i="6" s="1"/>
  <c r="I64" i="6"/>
  <c r="I132" i="6"/>
  <c r="E125" i="6"/>
  <c r="A114" i="6"/>
  <c r="E151" i="6"/>
  <c r="F101" i="6"/>
  <c r="K101" i="6" s="1"/>
  <c r="H14" i="6"/>
  <c r="A14" i="8"/>
  <c r="C14" i="8" s="1"/>
  <c r="AH1" i="6"/>
  <c r="AH4" i="6"/>
  <c r="AH5" i="6"/>
  <c r="AC4" i="6" s="1"/>
  <c r="I36" i="6"/>
  <c r="E42" i="6"/>
  <c r="I25" i="6"/>
  <c r="A62" i="6"/>
  <c r="E28" i="6"/>
  <c r="E110" i="6"/>
  <c r="F52" i="6"/>
  <c r="K52" i="6" s="1"/>
  <c r="E58" i="6"/>
  <c r="I89" i="6"/>
  <c r="C36" i="6"/>
  <c r="A15" i="6"/>
  <c r="D74" i="6"/>
  <c r="F74" i="6"/>
  <c r="K74" i="6" s="1"/>
  <c r="H75" i="6"/>
  <c r="C59" i="6"/>
  <c r="F89" i="6"/>
  <c r="K89" i="6" s="1"/>
  <c r="F109" i="6"/>
  <c r="K109" i="6" s="1"/>
  <c r="I50" i="6"/>
  <c r="H62" i="6"/>
  <c r="D62" i="6"/>
  <c r="H28" i="6"/>
  <c r="E158" i="6"/>
  <c r="F97" i="6"/>
  <c r="K97" i="6" s="1"/>
  <c r="E50" i="6"/>
  <c r="A25" i="6"/>
  <c r="F28" i="6"/>
  <c r="K28" i="6" s="1"/>
  <c r="A98" i="6"/>
  <c r="D97" i="6"/>
  <c r="H98" i="6"/>
  <c r="E120" i="6"/>
  <c r="H97" i="6"/>
  <c r="E98" i="6"/>
  <c r="E100" i="6"/>
  <c r="A120" i="6"/>
  <c r="I128" i="6"/>
  <c r="I62" i="6"/>
  <c r="A31" i="6"/>
  <c r="C50" i="6"/>
  <c r="C28" i="6"/>
  <c r="D102" i="6"/>
  <c r="D28" i="6"/>
  <c r="A102" i="6"/>
  <c r="C98" i="6"/>
  <c r="E109" i="6"/>
  <c r="C158" i="6"/>
  <c r="D128" i="6"/>
  <c r="I97" i="6"/>
  <c r="C25" i="6"/>
  <c r="A100" i="6"/>
  <c r="I158" i="6"/>
  <c r="D109" i="6"/>
  <c r="I74" i="6"/>
  <c r="H102" i="6"/>
  <c r="A128" i="6"/>
  <c r="C163" i="6"/>
  <c r="A50" i="6"/>
  <c r="A110" i="6"/>
  <c r="F62" i="6"/>
  <c r="K62" i="6" s="1"/>
  <c r="E47" i="6"/>
  <c r="C68" i="6"/>
  <c r="H134" i="6"/>
  <c r="C145" i="6"/>
  <c r="I68" i="6"/>
  <c r="I47" i="6"/>
  <c r="E88" i="6"/>
  <c r="D118" i="6"/>
  <c r="A47" i="6"/>
  <c r="A118" i="6"/>
  <c r="H90" i="6"/>
  <c r="D132" i="6"/>
  <c r="I90" i="6"/>
  <c r="E159" i="6"/>
  <c r="H112" i="6"/>
  <c r="F69" i="6"/>
  <c r="K69" i="6" s="1"/>
  <c r="C161" i="6"/>
  <c r="A154" i="6"/>
  <c r="I14" i="6"/>
  <c r="A139" i="6"/>
  <c r="D139" i="6"/>
  <c r="F139" i="6"/>
  <c r="K139" i="6" s="1"/>
  <c r="D79" i="6"/>
  <c r="A106" i="6"/>
  <c r="A105" i="6"/>
  <c r="H59" i="6"/>
  <c r="H16" i="6"/>
  <c r="G16" i="6"/>
  <c r="F93" i="6"/>
  <c r="K93" i="6" s="1"/>
  <c r="A121" i="6"/>
  <c r="F72" i="6"/>
  <c r="K72" i="6" s="1"/>
  <c r="E112" i="6"/>
  <c r="D163" i="6"/>
  <c r="H145" i="6"/>
  <c r="D145" i="6"/>
  <c r="F59" i="6"/>
  <c r="K59" i="6" s="1"/>
  <c r="I145" i="6"/>
  <c r="D158" i="6"/>
  <c r="C100" i="6"/>
  <c r="F163" i="6"/>
  <c r="K163" i="6" s="1"/>
  <c r="E163" i="6"/>
  <c r="H39" i="6"/>
  <c r="A39" i="6"/>
  <c r="I133" i="6"/>
  <c r="F51" i="6"/>
  <c r="K51" i="6" s="1"/>
  <c r="D90" i="6"/>
  <c r="A132" i="6"/>
  <c r="C86" i="6"/>
  <c r="D120" i="6"/>
  <c r="A116" i="6"/>
  <c r="H115" i="6"/>
  <c r="A93" i="6"/>
  <c r="I163" i="6"/>
  <c r="A109" i="6"/>
  <c r="A72" i="6"/>
  <c r="A97" i="6"/>
  <c r="D104" i="6"/>
  <c r="I102" i="6"/>
  <c r="A58" i="6"/>
  <c r="A104" i="6"/>
  <c r="H109" i="6"/>
  <c r="H124" i="6"/>
  <c r="I118" i="6"/>
  <c r="C81" i="6"/>
  <c r="D110" i="6"/>
  <c r="E121" i="6"/>
  <c r="D138" i="6"/>
  <c r="F145" i="6"/>
  <c r="K145" i="6" s="1"/>
  <c r="E128" i="6"/>
  <c r="H50" i="6"/>
  <c r="C51" i="6"/>
  <c r="E104" i="6"/>
  <c r="I109" i="6"/>
  <c r="F54" i="6"/>
  <c r="K54" i="6" s="1"/>
  <c r="E117" i="6"/>
  <c r="A40" i="6"/>
  <c r="A117" i="6"/>
  <c r="I146" i="6"/>
  <c r="C142" i="6"/>
  <c r="I115" i="6"/>
  <c r="D115" i="6"/>
  <c r="F164" i="6"/>
  <c r="K164" i="6" s="1"/>
  <c r="F117" i="6"/>
  <c r="K117" i="6" s="1"/>
  <c r="I52" i="6"/>
  <c r="F68" i="6"/>
  <c r="K68" i="6" s="1"/>
  <c r="I46" i="6"/>
  <c r="A88" i="6"/>
  <c r="A81" i="6"/>
  <c r="H137" i="6"/>
  <c r="E115" i="6"/>
  <c r="H40" i="6"/>
  <c r="D117" i="6"/>
  <c r="C146" i="6"/>
  <c r="I23" i="6"/>
  <c r="F140" i="6"/>
  <c r="K140" i="6" s="1"/>
  <c r="F46" i="6"/>
  <c r="K46" i="6" s="1"/>
  <c r="H47" i="6"/>
  <c r="I88" i="6"/>
  <c r="A23" i="6"/>
  <c r="C46" i="6"/>
  <c r="D47" i="6"/>
  <c r="H146" i="6"/>
  <c r="A83" i="6"/>
  <c r="I134" i="6"/>
  <c r="F40" i="6"/>
  <c r="K40" i="6" s="1"/>
  <c r="H66" i="6"/>
  <c r="A138" i="6"/>
  <c r="C83" i="6"/>
  <c r="E134" i="6"/>
  <c r="E15" i="6"/>
  <c r="F124" i="6"/>
  <c r="K124" i="6" s="1"/>
  <c r="H45" i="6"/>
  <c r="C52" i="6"/>
  <c r="I81" i="6"/>
  <c r="E52" i="6"/>
  <c r="E34" i="6"/>
  <c r="I138" i="6"/>
  <c r="E40" i="6"/>
  <c r="C134" i="6"/>
  <c r="C155" i="6"/>
  <c r="A37" i="6"/>
  <c r="E138" i="6"/>
  <c r="C15" i="6"/>
  <c r="B15" i="8" s="1"/>
  <c r="C23" i="6"/>
  <c r="F47" i="6"/>
  <c r="K47" i="6" s="1"/>
  <c r="E68" i="6"/>
  <c r="A46" i="6"/>
  <c r="C115" i="6"/>
  <c r="A124" i="6"/>
  <c r="I142" i="6"/>
  <c r="E49" i="6"/>
  <c r="C40" i="6"/>
  <c r="C137" i="6"/>
  <c r="D155" i="6"/>
  <c r="E150" i="6"/>
  <c r="H27" i="6"/>
  <c r="F81" i="6"/>
  <c r="K81" i="6" s="1"/>
  <c r="H37" i="6"/>
  <c r="H88" i="6"/>
  <c r="H15" i="6"/>
  <c r="I15" i="6"/>
  <c r="E118" i="6"/>
  <c r="C138" i="6"/>
  <c r="D136" i="6"/>
  <c r="D124" i="6"/>
  <c r="F34" i="6"/>
  <c r="K34" i="6" s="1"/>
  <c r="D85" i="6"/>
  <c r="G85" i="6"/>
  <c r="A35" i="6"/>
  <c r="G35" i="6"/>
  <c r="A7" i="6"/>
  <c r="G7" i="6"/>
  <c r="I7" i="8" s="1"/>
  <c r="O7" i="8" s="1"/>
  <c r="G2" i="6"/>
  <c r="I2" i="8" s="1"/>
  <c r="O2" i="8" s="1"/>
  <c r="F2" i="6"/>
  <c r="E45" i="6"/>
  <c r="F70" i="6"/>
  <c r="K70" i="6" s="1"/>
  <c r="H85" i="6"/>
  <c r="I70" i="6"/>
  <c r="I136" i="6"/>
  <c r="D49" i="6"/>
  <c r="E35" i="6"/>
  <c r="F96" i="6"/>
  <c r="K96" i="6" s="1"/>
  <c r="D37" i="6"/>
  <c r="D140" i="6"/>
  <c r="F142" i="6"/>
  <c r="K142" i="6" s="1"/>
  <c r="E136" i="6"/>
  <c r="F27" i="6"/>
  <c r="K27" i="6" s="1"/>
  <c r="C34" i="6"/>
  <c r="E165" i="6"/>
  <c r="G165" i="6"/>
  <c r="D95" i="6"/>
  <c r="G95" i="6"/>
  <c r="A107" i="6"/>
  <c r="G107" i="6"/>
  <c r="D126" i="6"/>
  <c r="G126" i="6"/>
  <c r="H129" i="6"/>
  <c r="G129" i="6"/>
  <c r="D78" i="6"/>
  <c r="G78" i="6"/>
  <c r="H143" i="6"/>
  <c r="G143" i="6"/>
  <c r="E156" i="6"/>
  <c r="G156" i="6"/>
  <c r="C21" i="6"/>
  <c r="G21" i="6"/>
  <c r="D32" i="6"/>
  <c r="G32" i="6"/>
  <c r="D61" i="6"/>
  <c r="G61" i="6"/>
  <c r="H130" i="6"/>
  <c r="G130" i="6"/>
  <c r="C65" i="6"/>
  <c r="G65" i="6"/>
  <c r="C33" i="6"/>
  <c r="G33" i="6"/>
  <c r="E67" i="6"/>
  <c r="G67" i="6"/>
  <c r="A13" i="6"/>
  <c r="G13" i="6"/>
  <c r="I13" i="8" s="1"/>
  <c r="O13" i="8" s="1"/>
  <c r="F7" i="6"/>
  <c r="E7" i="8" s="1"/>
  <c r="H96" i="6"/>
  <c r="C49" i="6"/>
  <c r="A45" i="6"/>
  <c r="I137" i="6"/>
  <c r="C35" i="6"/>
  <c r="A96" i="6"/>
  <c r="A155" i="6"/>
  <c r="D142" i="6"/>
  <c r="F66" i="6"/>
  <c r="K66" i="6" s="1"/>
  <c r="E124" i="6"/>
  <c r="E137" i="6"/>
  <c r="F146" i="6"/>
  <c r="K146" i="6" s="1"/>
  <c r="I164" i="6"/>
  <c r="I69" i="6"/>
  <c r="G69" i="6"/>
  <c r="C29" i="6"/>
  <c r="G29" i="6"/>
  <c r="I93" i="6"/>
  <c r="G93" i="6"/>
  <c r="C105" i="6"/>
  <c r="G105" i="6"/>
  <c r="I148" i="6"/>
  <c r="G148" i="6"/>
  <c r="C122" i="6"/>
  <c r="G122" i="6"/>
  <c r="C121" i="6"/>
  <c r="G121" i="6"/>
  <c r="F131" i="6"/>
  <c r="K131" i="6" s="1"/>
  <c r="G131" i="6"/>
  <c r="I152" i="6"/>
  <c r="G152" i="6"/>
  <c r="C22" i="6"/>
  <c r="G22" i="6"/>
  <c r="D55" i="6"/>
  <c r="G55" i="6"/>
  <c r="H127" i="6"/>
  <c r="G127" i="6"/>
  <c r="D60" i="6"/>
  <c r="G60" i="6"/>
  <c r="D63" i="6"/>
  <c r="G63" i="6"/>
  <c r="A161" i="6"/>
  <c r="G161" i="6"/>
  <c r="I7" i="6"/>
  <c r="F49" i="6"/>
  <c r="K49" i="6" s="1"/>
  <c r="I49" i="6"/>
  <c r="I96" i="6"/>
  <c r="A85" i="6"/>
  <c r="A70" i="6"/>
  <c r="I155" i="6"/>
  <c r="D35" i="6"/>
  <c r="D164" i="6"/>
  <c r="I82" i="6"/>
  <c r="A19" i="6"/>
  <c r="H19" i="6"/>
  <c r="C82" i="6"/>
  <c r="D81" i="6"/>
  <c r="G81" i="6"/>
  <c r="I40" i="6"/>
  <c r="G40" i="6"/>
  <c r="F115" i="6"/>
  <c r="K115" i="6" s="1"/>
  <c r="G115" i="6"/>
  <c r="H138" i="6"/>
  <c r="G138" i="6"/>
  <c r="D15" i="6"/>
  <c r="G15" i="6"/>
  <c r="A52" i="6"/>
  <c r="G52" i="6"/>
  <c r="E74" i="6"/>
  <c r="G74" i="6"/>
  <c r="D23" i="6"/>
  <c r="G23" i="6"/>
  <c r="C96" i="6"/>
  <c r="G96" i="6"/>
  <c r="C85" i="6"/>
  <c r="E7" i="6"/>
  <c r="E96" i="6"/>
  <c r="F37" i="6"/>
  <c r="K37" i="6" s="1"/>
  <c r="F35" i="6"/>
  <c r="K35" i="6" s="1"/>
  <c r="H136" i="6"/>
  <c r="I140" i="6"/>
  <c r="A66" i="6"/>
  <c r="I66" i="6"/>
  <c r="C136" i="6"/>
  <c r="D134" i="6"/>
  <c r="D146" i="6"/>
  <c r="E155" i="6"/>
  <c r="H83" i="6"/>
  <c r="F155" i="6"/>
  <c r="K155" i="6" s="1"/>
  <c r="I85" i="6"/>
  <c r="E23" i="6"/>
  <c r="H17" i="6"/>
  <c r="G17" i="6"/>
  <c r="I103" i="6"/>
  <c r="G103" i="6"/>
  <c r="C30" i="6"/>
  <c r="G30" i="6"/>
  <c r="F114" i="6"/>
  <c r="K114" i="6" s="1"/>
  <c r="G114" i="6"/>
  <c r="D76" i="6"/>
  <c r="G76" i="6"/>
  <c r="D44" i="6"/>
  <c r="G44" i="6"/>
  <c r="E41" i="6"/>
  <c r="G41" i="6"/>
  <c r="A34" i="6"/>
  <c r="C116" i="6"/>
  <c r="A145" i="6"/>
  <c r="G145" i="6"/>
  <c r="C31" i="6"/>
  <c r="G31" i="6"/>
  <c r="D59" i="6"/>
  <c r="G59" i="6"/>
  <c r="I100" i="6"/>
  <c r="G100" i="6"/>
  <c r="F158" i="6"/>
  <c r="K158" i="6" s="1"/>
  <c r="G158" i="6"/>
  <c r="C110" i="6"/>
  <c r="G110" i="6"/>
  <c r="D50" i="6"/>
  <c r="G50" i="6"/>
  <c r="C62" i="6"/>
  <c r="G62" i="6"/>
  <c r="F98" i="6"/>
  <c r="K98" i="6" s="1"/>
  <c r="G98" i="6"/>
  <c r="E140" i="6"/>
  <c r="E37" i="6"/>
  <c r="E85" i="6"/>
  <c r="H24" i="6"/>
  <c r="A24" i="6"/>
  <c r="H70" i="6"/>
  <c r="H142" i="6"/>
  <c r="A49" i="6"/>
  <c r="E66" i="6"/>
  <c r="I37" i="6"/>
  <c r="D137" i="6"/>
  <c r="E164" i="6"/>
  <c r="D83" i="6"/>
  <c r="H118" i="6"/>
  <c r="E146" i="6"/>
  <c r="C17" i="6"/>
  <c r="I116" i="6"/>
  <c r="E30" i="6"/>
  <c r="A27" i="6"/>
  <c r="A140" i="6"/>
  <c r="I123" i="6"/>
  <c r="G123" i="6"/>
  <c r="A157" i="6"/>
  <c r="G157" i="6"/>
  <c r="F43" i="6"/>
  <c r="K43" i="6" s="1"/>
  <c r="G43" i="6"/>
  <c r="H73" i="6"/>
  <c r="G73" i="6"/>
  <c r="E154" i="6"/>
  <c r="G154" i="6"/>
  <c r="D94" i="6"/>
  <c r="G94" i="6"/>
  <c r="A153" i="6"/>
  <c r="G153" i="6"/>
  <c r="I38" i="6"/>
  <c r="G38" i="6"/>
  <c r="E56" i="6"/>
  <c r="G56" i="6"/>
  <c r="E48" i="6"/>
  <c r="G48" i="6"/>
  <c r="A92" i="6"/>
  <c r="G92" i="6"/>
  <c r="C160" i="6"/>
  <c r="G160" i="6"/>
  <c r="I80" i="6"/>
  <c r="G80" i="6"/>
  <c r="I18" i="6"/>
  <c r="G18" i="6"/>
  <c r="E108" i="6"/>
  <c r="G108" i="6"/>
  <c r="C139" i="6"/>
  <c r="G139" i="6"/>
  <c r="A141" i="6"/>
  <c r="G141" i="6"/>
  <c r="F45" i="6"/>
  <c r="K45" i="6" s="1"/>
  <c r="F85" i="6"/>
  <c r="K85" i="6" s="1"/>
  <c r="I24" i="6"/>
  <c r="F82" i="6"/>
  <c r="K82" i="6" s="1"/>
  <c r="H49" i="6"/>
  <c r="I35" i="6"/>
  <c r="D66" i="6"/>
  <c r="C140" i="6"/>
  <c r="C37" i="6"/>
  <c r="E142" i="6"/>
  <c r="A82" i="6"/>
  <c r="E39" i="6"/>
  <c r="G39" i="6"/>
  <c r="A133" i="6"/>
  <c r="G133" i="6"/>
  <c r="A79" i="6"/>
  <c r="G79" i="6"/>
  <c r="E71" i="6"/>
  <c r="G71" i="6"/>
  <c r="F84" i="6"/>
  <c r="K84" i="6" s="1"/>
  <c r="G84" i="6"/>
  <c r="A149" i="6"/>
  <c r="G149" i="6"/>
  <c r="C89" i="6"/>
  <c r="G89" i="6"/>
  <c r="D144" i="6"/>
  <c r="G144" i="6"/>
  <c r="H99" i="6"/>
  <c r="G99" i="6"/>
  <c r="I26" i="6"/>
  <c r="G26" i="6"/>
  <c r="D36" i="6"/>
  <c r="G36" i="6"/>
  <c r="H42" i="6"/>
  <c r="G42" i="6"/>
  <c r="A53" i="6"/>
  <c r="G53" i="6"/>
  <c r="D91" i="6"/>
  <c r="G91" i="6"/>
  <c r="C151" i="6"/>
  <c r="G151" i="6"/>
  <c r="C75" i="6"/>
  <c r="G75" i="6"/>
  <c r="C14" i="6"/>
  <c r="B14" i="8" s="1"/>
  <c r="G14" i="6"/>
  <c r="F119" i="6"/>
  <c r="K119" i="6" s="1"/>
  <c r="G119" i="6"/>
  <c r="F162" i="6"/>
  <c r="K162" i="6" s="1"/>
  <c r="G162" i="6"/>
  <c r="H80" i="6"/>
  <c r="A56" i="6"/>
  <c r="C80" i="6"/>
  <c r="I92" i="6"/>
  <c r="F39" i="6"/>
  <c r="K39" i="6" s="1"/>
  <c r="F94" i="6"/>
  <c r="K94" i="6" s="1"/>
  <c r="F92" i="6"/>
  <c r="K92" i="6" s="1"/>
  <c r="H53" i="6"/>
  <c r="F56" i="6"/>
  <c r="K56" i="6" s="1"/>
  <c r="A36" i="6"/>
  <c r="H144" i="6"/>
  <c r="D39" i="6"/>
  <c r="D80" i="6"/>
  <c r="I157" i="6"/>
  <c r="D92" i="6"/>
  <c r="A113" i="6"/>
  <c r="C144" i="6"/>
  <c r="F141" i="6"/>
  <c r="K141" i="6" s="1"/>
  <c r="D141" i="6"/>
  <c r="D153" i="6"/>
  <c r="E153" i="6"/>
  <c r="F151" i="6"/>
  <c r="K151" i="6" s="1"/>
  <c r="C73" i="6"/>
  <c r="E141" i="6"/>
  <c r="D75" i="6"/>
  <c r="H91" i="6"/>
  <c r="I91" i="6"/>
  <c r="F73" i="6"/>
  <c r="K73" i="6" s="1"/>
  <c r="C92" i="6"/>
  <c r="A89" i="6"/>
  <c r="C99" i="6"/>
  <c r="H160" i="6"/>
  <c r="E106" i="6"/>
  <c r="A84" i="6"/>
  <c r="D113" i="6"/>
  <c r="H123" i="6"/>
  <c r="C157" i="6"/>
  <c r="F144" i="6"/>
  <c r="K144" i="6" s="1"/>
  <c r="D133" i="6"/>
  <c r="D154" i="6"/>
  <c r="A14" i="6"/>
  <c r="F154" i="6"/>
  <c r="K154" i="6" s="1"/>
  <c r="D73" i="6"/>
  <c r="E133" i="6"/>
  <c r="E144" i="6"/>
  <c r="C91" i="6"/>
  <c r="I42" i="6"/>
  <c r="A26" i="6"/>
  <c r="I94" i="6"/>
  <c r="H18" i="6"/>
  <c r="H92" i="6"/>
  <c r="E113" i="6"/>
  <c r="C154" i="6"/>
  <c r="A73" i="6"/>
  <c r="F38" i="6"/>
  <c r="K38" i="6" s="1"/>
  <c r="I39" i="6"/>
  <c r="E53" i="6"/>
  <c r="I73" i="6"/>
  <c r="A94" i="6"/>
  <c r="A123" i="6"/>
  <c r="H133" i="6"/>
  <c r="E119" i="6"/>
  <c r="D106" i="6"/>
  <c r="A75" i="6"/>
  <c r="E123" i="6"/>
  <c r="E157" i="6"/>
  <c r="F14" i="6"/>
  <c r="F157" i="6"/>
  <c r="K157" i="6" s="1"/>
  <c r="F113" i="6"/>
  <c r="K113" i="6" s="1"/>
  <c r="E18" i="6"/>
  <c r="E94" i="6"/>
  <c r="F18" i="6"/>
  <c r="K18" i="6" s="1"/>
  <c r="F108" i="6"/>
  <c r="K108" i="6" s="1"/>
  <c r="A38" i="6"/>
  <c r="C94" i="6"/>
  <c r="C79" i="6"/>
  <c r="E36" i="6"/>
  <c r="E92" i="6"/>
  <c r="C38" i="6"/>
  <c r="E38" i="6"/>
  <c r="E14" i="6"/>
  <c r="H149" i="6"/>
  <c r="D119" i="6"/>
  <c r="I139" i="6"/>
  <c r="I149" i="6"/>
  <c r="I160" i="6"/>
  <c r="A71" i="6"/>
  <c r="F153" i="6"/>
  <c r="K153" i="6" s="1"/>
  <c r="D123" i="6"/>
  <c r="D157" i="6"/>
  <c r="E160" i="6"/>
  <c r="D14" i="6"/>
  <c r="F160" i="6"/>
  <c r="K160" i="6" s="1"/>
  <c r="F149" i="6"/>
  <c r="K149" i="6" s="1"/>
  <c r="E26" i="6"/>
  <c r="H26" i="6"/>
  <c r="C106" i="6"/>
  <c r="H141" i="6"/>
  <c r="I71" i="6"/>
  <c r="E80" i="6"/>
  <c r="F71" i="6"/>
  <c r="K71" i="6" s="1"/>
  <c r="I84" i="6"/>
  <c r="F79" i="6"/>
  <c r="K79" i="6" s="1"/>
  <c r="F53" i="6"/>
  <c r="K53" i="6" s="1"/>
  <c r="H79" i="6"/>
  <c r="I79" i="6"/>
  <c r="C42" i="6"/>
  <c r="F91" i="6"/>
  <c r="K91" i="6" s="1"/>
  <c r="F42" i="6"/>
  <c r="K42" i="6" s="1"/>
  <c r="F75" i="6"/>
  <c r="K75" i="6" s="1"/>
  <c r="H151" i="6"/>
  <c r="A119" i="6"/>
  <c r="F99" i="6"/>
  <c r="K99" i="6" s="1"/>
  <c r="F123" i="6"/>
  <c r="K123" i="6" s="1"/>
  <c r="I151" i="6"/>
  <c r="I162" i="6"/>
  <c r="E99" i="6"/>
  <c r="D71" i="6"/>
  <c r="C149" i="6"/>
  <c r="E162" i="6"/>
  <c r="H106" i="6"/>
  <c r="C141" i="6"/>
  <c r="F133" i="6"/>
  <c r="K133" i="6" s="1"/>
  <c r="C84" i="6"/>
  <c r="H71" i="6"/>
  <c r="C119" i="6"/>
  <c r="H153" i="6"/>
  <c r="I141" i="6"/>
  <c r="I153" i="6"/>
  <c r="D99" i="6"/>
  <c r="A108" i="6"/>
  <c r="I99" i="6"/>
  <c r="I119" i="6"/>
  <c r="E149" i="6"/>
  <c r="A99" i="6"/>
  <c r="I75" i="6"/>
  <c r="E91" i="6"/>
  <c r="F48" i="6"/>
  <c r="K48" i="6" s="1"/>
  <c r="H48" i="6"/>
  <c r="D16" i="6"/>
  <c r="F16" i="6"/>
  <c r="K16" i="6" s="1"/>
  <c r="A57" i="6"/>
  <c r="D51" i="6"/>
  <c r="I51" i="6"/>
  <c r="E51" i="6"/>
  <c r="H51" i="6"/>
  <c r="A135" i="6"/>
  <c r="F135" i="6"/>
  <c r="K135" i="6" s="1"/>
  <c r="F112" i="6"/>
  <c r="K112" i="6" s="1"/>
  <c r="C112" i="6"/>
  <c r="C93" i="6"/>
  <c r="I57" i="6"/>
  <c r="I60" i="6"/>
  <c r="C63" i="6"/>
  <c r="H32" i="6"/>
  <c r="E33" i="6"/>
  <c r="E21" i="6"/>
  <c r="E122" i="6"/>
  <c r="I131" i="6"/>
  <c r="A148" i="6"/>
  <c r="E127" i="6"/>
  <c r="I29" i="6"/>
  <c r="C135" i="6"/>
  <c r="C143" i="6"/>
  <c r="E161" i="6"/>
  <c r="A69" i="6"/>
  <c r="I107" i="6"/>
  <c r="D152" i="6"/>
  <c r="A78" i="6"/>
  <c r="H122" i="6"/>
  <c r="E131" i="6"/>
  <c r="F143" i="6"/>
  <c r="K143" i="6" s="1"/>
  <c r="H105" i="6"/>
  <c r="H60" i="6"/>
  <c r="D84" i="6"/>
  <c r="H84" i="6"/>
  <c r="D89" i="6"/>
  <c r="H89" i="6"/>
  <c r="A144" i="6"/>
  <c r="D26" i="6"/>
  <c r="C26" i="6"/>
  <c r="D42" i="6"/>
  <c r="D53" i="6"/>
  <c r="I53" i="6"/>
  <c r="C53" i="6"/>
  <c r="A151" i="6"/>
  <c r="H162" i="6"/>
  <c r="F65" i="6"/>
  <c r="K65" i="6" s="1"/>
  <c r="E95" i="6"/>
  <c r="I65" i="6"/>
  <c r="H63" i="6"/>
  <c r="I63" i="6"/>
  <c r="I33" i="6"/>
  <c r="I61" i="6"/>
  <c r="A21" i="6"/>
  <c r="A65" i="6"/>
  <c r="H135" i="6"/>
  <c r="D122" i="6"/>
  <c r="I156" i="6"/>
  <c r="I22" i="6"/>
  <c r="D127" i="6"/>
  <c r="H29" i="6"/>
  <c r="E129" i="6"/>
  <c r="C152" i="6"/>
  <c r="H165" i="6"/>
  <c r="D69" i="6"/>
  <c r="I127" i="6"/>
  <c r="D161" i="6"/>
  <c r="F130" i="6"/>
  <c r="K130" i="6" s="1"/>
  <c r="C48" i="6"/>
  <c r="A122" i="6"/>
  <c r="I59" i="6"/>
  <c r="I112" i="6"/>
  <c r="A59" i="6"/>
  <c r="H155" i="6"/>
  <c r="C164" i="6"/>
  <c r="H164" i="6"/>
  <c r="E83" i="6"/>
  <c r="F83" i="6"/>
  <c r="K83" i="6" s="1"/>
  <c r="I83" i="6"/>
  <c r="H140" i="6"/>
  <c r="A136" i="6"/>
  <c r="F136" i="6"/>
  <c r="K136" i="6" s="1"/>
  <c r="D82" i="6"/>
  <c r="E82" i="6"/>
  <c r="H82" i="6"/>
  <c r="D24" i="6"/>
  <c r="C24" i="6"/>
  <c r="E24" i="6"/>
  <c r="F24" i="6"/>
  <c r="K24" i="6" s="1"/>
  <c r="D19" i="6"/>
  <c r="E19" i="6"/>
  <c r="F19" i="6"/>
  <c r="K19" i="6" s="1"/>
  <c r="I19" i="6"/>
  <c r="C19" i="6"/>
  <c r="D45" i="6"/>
  <c r="I45" i="6"/>
  <c r="C45" i="6"/>
  <c r="C66" i="6"/>
  <c r="A142" i="6"/>
  <c r="D70" i="6"/>
  <c r="E70" i="6"/>
  <c r="C70" i="6"/>
  <c r="A137" i="6"/>
  <c r="F137" i="6"/>
  <c r="K137" i="6" s="1"/>
  <c r="D57" i="6"/>
  <c r="E57" i="6"/>
  <c r="D54" i="6"/>
  <c r="H54" i="6"/>
  <c r="C54" i="6"/>
  <c r="E54" i="6"/>
  <c r="C78" i="6"/>
  <c r="I78" i="6"/>
  <c r="H156" i="6"/>
  <c r="A150" i="6"/>
  <c r="D107" i="6"/>
  <c r="H67" i="6"/>
  <c r="C130" i="6"/>
  <c r="F67" i="6"/>
  <c r="K67" i="6" s="1"/>
  <c r="E143" i="6"/>
  <c r="H57" i="6"/>
  <c r="H148" i="6"/>
  <c r="C72" i="6"/>
  <c r="F55" i="6"/>
  <c r="K55" i="6" s="1"/>
  <c r="C67" i="6"/>
  <c r="C127" i="6"/>
  <c r="I135" i="6"/>
  <c r="I143" i="6"/>
  <c r="A67" i="6"/>
  <c r="E29" i="6"/>
  <c r="D105" i="6"/>
  <c r="D121" i="6"/>
  <c r="C131" i="6"/>
  <c r="D67" i="6"/>
  <c r="D72" i="6"/>
  <c r="D148" i="6"/>
  <c r="D156" i="6"/>
  <c r="A156" i="6"/>
  <c r="D112" i="6"/>
  <c r="E135" i="6"/>
  <c r="A51" i="6"/>
  <c r="H121" i="6"/>
  <c r="A134" i="6"/>
  <c r="F134" i="6"/>
  <c r="K134" i="6" s="1"/>
  <c r="A146" i="6"/>
  <c r="D27" i="6"/>
  <c r="E27" i="6"/>
  <c r="C27" i="6"/>
  <c r="D46" i="6"/>
  <c r="H46" i="6"/>
  <c r="E46" i="6"/>
  <c r="F118" i="6"/>
  <c r="K118" i="6" s="1"/>
  <c r="C118" i="6"/>
  <c r="D68" i="6"/>
  <c r="H68" i="6"/>
  <c r="A68" i="6"/>
  <c r="D88" i="6"/>
  <c r="F88" i="6"/>
  <c r="K88" i="6" s="1"/>
  <c r="C88" i="6"/>
  <c r="C117" i="6"/>
  <c r="H117" i="6"/>
  <c r="I117" i="6"/>
  <c r="C124" i="6"/>
  <c r="I124" i="6"/>
  <c r="D34" i="6"/>
  <c r="I34" i="6"/>
  <c r="F126" i="6"/>
  <c r="K126" i="6" s="1"/>
  <c r="C126" i="6"/>
  <c r="I126" i="6"/>
  <c r="A95" i="6"/>
  <c r="H150" i="6"/>
  <c r="C16" i="6"/>
  <c r="H93" i="6"/>
  <c r="I21" i="6"/>
  <c r="A22" i="6"/>
  <c r="C55" i="6"/>
  <c r="E63" i="6"/>
  <c r="F63" i="6"/>
  <c r="K63" i="6" s="1"/>
  <c r="F95" i="6"/>
  <c r="K95" i="6" s="1"/>
  <c r="C60" i="6"/>
  <c r="E93" i="6"/>
  <c r="H55" i="6"/>
  <c r="I95" i="6"/>
  <c r="A16" i="6"/>
  <c r="H21" i="6"/>
  <c r="C107" i="6"/>
  <c r="H152" i="6"/>
  <c r="A126" i="6"/>
  <c r="F22" i="6"/>
  <c r="K22" i="6" s="1"/>
  <c r="A29" i="6"/>
  <c r="A63" i="6"/>
  <c r="H107" i="6"/>
  <c r="C148" i="6"/>
  <c r="C156" i="6"/>
  <c r="F150" i="6"/>
  <c r="K150" i="6" s="1"/>
  <c r="E22" i="6"/>
  <c r="F165" i="6"/>
  <c r="K165" i="6" s="1"/>
  <c r="F105" i="6"/>
  <c r="K105" i="6" s="1"/>
  <c r="A112" i="6"/>
  <c r="E81" i="6"/>
  <c r="I27" i="6"/>
  <c r="D129" i="6"/>
  <c r="A60" i="6"/>
  <c r="A90" i="6"/>
  <c r="C90" i="6"/>
  <c r="H116" i="6"/>
  <c r="F116" i="6"/>
  <c r="K116" i="6" s="1"/>
  <c r="H132" i="6"/>
  <c r="F132" i="6"/>
  <c r="K132" i="6" s="1"/>
  <c r="A159" i="6"/>
  <c r="D17" i="6"/>
  <c r="F17" i="6"/>
  <c r="K17" i="6" s="1"/>
  <c r="D64" i="6"/>
  <c r="F64" i="6"/>
  <c r="K64" i="6" s="1"/>
  <c r="H64" i="6"/>
  <c r="C125" i="6"/>
  <c r="F125" i="6"/>
  <c r="K125" i="6" s="1"/>
  <c r="H147" i="6"/>
  <c r="C101" i="6"/>
  <c r="H101" i="6"/>
  <c r="I101" i="6"/>
  <c r="I86" i="6"/>
  <c r="H86" i="6"/>
  <c r="H61" i="6"/>
  <c r="E126" i="6"/>
  <c r="H126" i="6"/>
  <c r="A152" i="6"/>
  <c r="E55" i="6"/>
  <c r="H95" i="6"/>
  <c r="F57" i="6"/>
  <c r="K57" i="6" s="1"/>
  <c r="C69" i="6"/>
  <c r="E61" i="6"/>
  <c r="H72" i="6"/>
  <c r="E60" i="6"/>
  <c r="I72" i="6"/>
  <c r="I55" i="6"/>
  <c r="I54" i="6"/>
  <c r="H69" i="6"/>
  <c r="A54" i="6"/>
  <c r="I32" i="6"/>
  <c r="F107" i="6"/>
  <c r="K107" i="6" s="1"/>
  <c r="F127" i="6"/>
  <c r="K127" i="6" s="1"/>
  <c r="I161" i="6"/>
  <c r="D22" i="6"/>
  <c r="A131" i="6"/>
  <c r="D29" i="6"/>
  <c r="D150" i="6"/>
  <c r="H78" i="6"/>
  <c r="E148" i="6"/>
  <c r="F161" i="6"/>
  <c r="K161" i="6" s="1"/>
  <c r="E32" i="6"/>
  <c r="I105" i="6"/>
  <c r="E16" i="6"/>
  <c r="C104" i="6"/>
  <c r="H104" i="6"/>
  <c r="I104" i="6"/>
  <c r="F104" i="6"/>
  <c r="K104" i="6" s="1"/>
  <c r="D31" i="6"/>
  <c r="F31" i="6"/>
  <c r="K31" i="6" s="1"/>
  <c r="I31" i="6"/>
  <c r="E31" i="6"/>
  <c r="H163" i="6"/>
  <c r="H100" i="6"/>
  <c r="F100" i="6"/>
  <c r="K100" i="6" s="1"/>
  <c r="A158" i="6"/>
  <c r="F110" i="6"/>
  <c r="K110" i="6" s="1"/>
  <c r="I110" i="6"/>
  <c r="D58" i="6"/>
  <c r="C58" i="6"/>
  <c r="H58" i="6"/>
  <c r="F58" i="6"/>
  <c r="K58" i="6" s="1"/>
  <c r="I58" i="6"/>
  <c r="C109" i="6"/>
  <c r="H128" i="6"/>
  <c r="C128" i="6"/>
  <c r="F128" i="6"/>
  <c r="K128" i="6" s="1"/>
  <c r="A28" i="6"/>
  <c r="I28" i="6"/>
  <c r="C97" i="6"/>
  <c r="E97" i="6"/>
  <c r="D25" i="6"/>
  <c r="F25" i="6"/>
  <c r="K25" i="6" s="1"/>
  <c r="H25" i="6"/>
  <c r="C120" i="6"/>
  <c r="F120" i="6"/>
  <c r="K120" i="6" s="1"/>
  <c r="H120" i="6"/>
  <c r="I120" i="6"/>
  <c r="F102" i="6"/>
  <c r="K102" i="6" s="1"/>
  <c r="C102" i="6"/>
  <c r="D165" i="6"/>
  <c r="I165" i="6"/>
  <c r="C165" i="6"/>
  <c r="C129" i="6"/>
  <c r="F129" i="6"/>
  <c r="K129" i="6" s="1"/>
  <c r="I129" i="6"/>
  <c r="A143" i="6"/>
  <c r="D33" i="6"/>
  <c r="F33" i="6"/>
  <c r="K33" i="6" s="1"/>
  <c r="H33" i="6"/>
  <c r="D65" i="6"/>
  <c r="I150" i="6"/>
  <c r="F122" i="6"/>
  <c r="K122" i="6" s="1"/>
  <c r="I122" i="6"/>
  <c r="H131" i="6"/>
  <c r="E72" i="6"/>
  <c r="C95" i="6"/>
  <c r="F61" i="6"/>
  <c r="K61" i="6" s="1"/>
  <c r="F60" i="6"/>
  <c r="K60" i="6" s="1"/>
  <c r="C57" i="6"/>
  <c r="A61" i="6"/>
  <c r="A32" i="6"/>
  <c r="C32" i="6"/>
  <c r="F21" i="6"/>
  <c r="K21" i="6" s="1"/>
  <c r="I130" i="6"/>
  <c r="A130" i="6"/>
  <c r="H65" i="6"/>
  <c r="C150" i="6"/>
  <c r="F156" i="6"/>
  <c r="K156" i="6" s="1"/>
  <c r="D135" i="6"/>
  <c r="D143" i="6"/>
  <c r="E78" i="6"/>
  <c r="F121" i="6"/>
  <c r="K121" i="6" s="1"/>
  <c r="E130" i="6"/>
  <c r="E152" i="6"/>
  <c r="F32" i="6"/>
  <c r="K32" i="6" s="1"/>
  <c r="D43" i="6"/>
  <c r="I43" i="6"/>
  <c r="C43" i="6"/>
  <c r="E43" i="6"/>
  <c r="A43" i="6"/>
  <c r="H43" i="6"/>
  <c r="H154" i="6"/>
  <c r="F106" i="6"/>
  <c r="K106" i="6" s="1"/>
  <c r="I106" i="6"/>
  <c r="D38" i="6"/>
  <c r="H38" i="6"/>
  <c r="D56" i="6"/>
  <c r="H56" i="6"/>
  <c r="C56" i="6"/>
  <c r="I56" i="6"/>
  <c r="D48" i="6"/>
  <c r="I48" i="6"/>
  <c r="C113" i="6"/>
  <c r="H113" i="6"/>
  <c r="I113" i="6"/>
  <c r="A160" i="6"/>
  <c r="F80" i="6"/>
  <c r="K80" i="6" s="1"/>
  <c r="D18" i="6"/>
  <c r="C18" i="6"/>
  <c r="C108" i="6"/>
  <c r="H108" i="6"/>
  <c r="I108" i="6"/>
  <c r="H139" i="6"/>
  <c r="H12" i="6"/>
  <c r="D12" i="8" s="1"/>
  <c r="F12" i="6"/>
  <c r="E12" i="8" s="1"/>
  <c r="I12" i="6"/>
  <c r="A12" i="6"/>
  <c r="E12" i="6"/>
  <c r="E8" i="6"/>
  <c r="I8" i="6"/>
  <c r="A8" i="6"/>
  <c r="F8" i="6"/>
  <c r="E8" i="8" s="1"/>
  <c r="H8" i="6"/>
  <c r="D8" i="8" s="1"/>
  <c r="Q8" i="8" s="1"/>
  <c r="H13" i="6"/>
  <c r="D13" i="8" s="1"/>
  <c r="F13" i="6"/>
  <c r="E13" i="8" s="1"/>
  <c r="I13" i="6"/>
  <c r="E13" i="6"/>
  <c r="H10" i="6"/>
  <c r="D10" i="8" s="1"/>
  <c r="F10" i="6"/>
  <c r="E10" i="8" s="1"/>
  <c r="E10" i="6"/>
  <c r="A10" i="6"/>
  <c r="I10" i="6"/>
  <c r="E2" i="6"/>
  <c r="H2" i="6"/>
  <c r="D2" i="8" s="1"/>
  <c r="F3" i="6"/>
  <c r="E3" i="8" s="1"/>
  <c r="I3" i="6"/>
  <c r="A3" i="6"/>
  <c r="H3" i="6"/>
  <c r="D3" i="8" s="1"/>
  <c r="Q3" i="8" s="1"/>
  <c r="E3" i="6"/>
  <c r="A6" i="6"/>
  <c r="H6" i="6"/>
  <c r="D6" i="8" s="1"/>
  <c r="Q6" i="8" s="1"/>
  <c r="F6" i="6"/>
  <c r="E6" i="8" s="1"/>
  <c r="I6" i="6"/>
  <c r="E6" i="6"/>
  <c r="F9" i="6"/>
  <c r="E9" i="8" s="1"/>
  <c r="E9" i="6"/>
  <c r="A9" i="6"/>
  <c r="H9" i="6"/>
  <c r="D9" i="8" s="1"/>
  <c r="I9" i="6"/>
  <c r="F11" i="6"/>
  <c r="E11" i="8" s="1"/>
  <c r="I11" i="6"/>
  <c r="H11" i="6"/>
  <c r="D11" i="8" s="1"/>
  <c r="Q11" i="8" s="1"/>
  <c r="E11" i="6"/>
  <c r="A11" i="6"/>
  <c r="H5" i="6"/>
  <c r="D5" i="8" s="1"/>
  <c r="F5" i="6"/>
  <c r="E5" i="8" s="1"/>
  <c r="I5" i="6"/>
  <c r="E5" i="6"/>
  <c r="A5" i="6"/>
  <c r="H4" i="6"/>
  <c r="D4" i="8" s="1"/>
  <c r="A4" i="6"/>
  <c r="F4" i="6"/>
  <c r="E4" i="8" s="1"/>
  <c r="I4" i="6"/>
  <c r="E4" i="6"/>
  <c r="C11" i="6"/>
  <c r="B11" i="8" s="1"/>
  <c r="D11" i="6"/>
  <c r="C4" i="6"/>
  <c r="B4" i="8" s="1"/>
  <c r="D4" i="6"/>
  <c r="C12" i="6"/>
  <c r="B12" i="8" s="1"/>
  <c r="D12" i="6"/>
  <c r="C13" i="6"/>
  <c r="B13" i="8" s="1"/>
  <c r="D13" i="6"/>
  <c r="D6" i="6"/>
  <c r="C6" i="6"/>
  <c r="B6" i="8" s="1"/>
  <c r="D2" i="6"/>
  <c r="D7" i="6"/>
  <c r="C7" i="6"/>
  <c r="B7" i="8" s="1"/>
  <c r="C3" i="6"/>
  <c r="B3" i="8" s="1"/>
  <c r="D3" i="6"/>
  <c r="C10" i="6"/>
  <c r="B10" i="8" s="1"/>
  <c r="D10" i="6"/>
  <c r="D5" i="6"/>
  <c r="C5" i="6"/>
  <c r="B5" i="8" s="1"/>
  <c r="C9" i="6"/>
  <c r="B9" i="8" s="1"/>
  <c r="D9" i="6"/>
  <c r="D8" i="6"/>
  <c r="C8" i="6"/>
  <c r="B8" i="8" s="1"/>
  <c r="C2" i="6"/>
  <c r="B2" i="8" s="1"/>
  <c r="B2" i="4"/>
  <c r="D3" i="4"/>
  <c r="F2" i="4"/>
  <c r="G2" i="4"/>
  <c r="C2" i="4"/>
  <c r="D2" i="4"/>
  <c r="E2" i="4"/>
  <c r="B3" i="4"/>
  <c r="E3" i="4"/>
  <c r="F3" i="4"/>
  <c r="G3" i="4"/>
  <c r="C3" i="4"/>
  <c r="Q4" i="8" l="1"/>
  <c r="Q9" i="8"/>
  <c r="Q13" i="8"/>
  <c r="Q10" i="8"/>
  <c r="Q12" i="8"/>
  <c r="Q5" i="8"/>
  <c r="C12" i="8"/>
  <c r="M12" i="8"/>
  <c r="C8" i="8"/>
  <c r="M8" i="8"/>
  <c r="C11" i="8"/>
  <c r="M11" i="8"/>
  <c r="C3" i="8"/>
  <c r="M3" i="8"/>
  <c r="C5" i="8"/>
  <c r="M5" i="8"/>
  <c r="K2" i="6"/>
  <c r="E2" i="8"/>
  <c r="Q2" i="8" s="1"/>
  <c r="C4" i="8"/>
  <c r="M4" i="8"/>
  <c r="C7" i="8"/>
  <c r="M7" i="8"/>
  <c r="C6" i="8"/>
  <c r="M6" i="8"/>
  <c r="C10" i="8"/>
  <c r="M10" i="8"/>
  <c r="C9" i="8"/>
  <c r="M9" i="8"/>
  <c r="AH3" i="6"/>
  <c r="AH6" i="6"/>
  <c r="H3" i="4" s="1"/>
  <c r="AC2" i="6"/>
  <c r="AD7" i="6" s="1"/>
  <c r="K3" i="6"/>
  <c r="K4" i="6" s="1"/>
  <c r="I2" i="5" l="1"/>
  <c r="AC7" i="6"/>
  <c r="H2" i="4"/>
  <c r="K5" i="6"/>
  <c r="K6" i="6" l="1"/>
  <c r="K7" i="6" l="1"/>
  <c r="K8" i="6" l="1"/>
  <c r="K10" i="6"/>
  <c r="K9" i="6" l="1"/>
  <c r="K11" i="6" s="1"/>
  <c r="K12" i="6" l="1"/>
  <c r="K13" i="6" s="1"/>
  <c r="K14" i="6" l="1"/>
  <c r="G73" i="5" s="1"/>
  <c r="F10" i="5"/>
  <c r="B34" i="5"/>
  <c r="I68" i="5"/>
  <c r="F40" i="5"/>
  <c r="B78" i="5"/>
  <c r="B10" i="5"/>
  <c r="A10" i="5" s="1"/>
  <c r="H30" i="5"/>
  <c r="C68" i="5"/>
  <c r="D24" i="5"/>
  <c r="D11" i="5"/>
  <c r="I31" i="5"/>
  <c r="B45" i="5"/>
  <c r="G60" i="5"/>
  <c r="C11" i="5"/>
  <c r="B89" i="5"/>
  <c r="G30" i="5"/>
  <c r="F57" i="5"/>
  <c r="H16" i="5"/>
  <c r="C19" i="5"/>
  <c r="D33" i="5"/>
  <c r="H10" i="5"/>
  <c r="F76" i="5"/>
  <c r="D10" i="5"/>
  <c r="D53" i="5"/>
  <c r="E61" i="5"/>
  <c r="I63" i="5"/>
  <c r="B28" i="5"/>
  <c r="E18" i="5"/>
  <c r="C10" i="5"/>
  <c r="E40" i="5"/>
  <c r="G56" i="5"/>
  <c r="C80" i="5"/>
  <c r="H72" i="5"/>
  <c r="C78" i="5"/>
  <c r="H32" i="5"/>
  <c r="B72" i="5"/>
  <c r="F49" i="5"/>
  <c r="E26" i="5"/>
  <c r="I27" i="5"/>
  <c r="C85" i="5"/>
  <c r="D35" i="5"/>
  <c r="E64" i="5"/>
  <c r="B49" i="5"/>
  <c r="C74" i="5"/>
  <c r="D56" i="5"/>
  <c r="H82" i="5"/>
  <c r="H48" i="5"/>
  <c r="E57" i="5"/>
  <c r="D44" i="5"/>
  <c r="D17" i="5"/>
  <c r="G70" i="5"/>
  <c r="F65" i="5"/>
  <c r="F64" i="5"/>
  <c r="B70" i="5"/>
  <c r="B19" i="5"/>
  <c r="F18" i="5"/>
  <c r="D20" i="5"/>
  <c r="H21" i="5"/>
  <c r="D42" i="5"/>
  <c r="C37" i="5"/>
  <c r="I77" i="5"/>
  <c r="B84" i="5"/>
  <c r="G17" i="5"/>
  <c r="H69" i="5"/>
  <c r="F19" i="5"/>
  <c r="E37" i="5"/>
  <c r="C64" i="5"/>
  <c r="H81" i="5"/>
  <c r="D78" i="5"/>
  <c r="C32" i="5"/>
  <c r="B51" i="5"/>
  <c r="I11" i="5"/>
  <c r="C40" i="5"/>
  <c r="D26" i="5"/>
  <c r="B26" i="5"/>
  <c r="H45" i="5"/>
  <c r="I59" i="5"/>
  <c r="H26" i="5"/>
  <c r="F75" i="5"/>
  <c r="G62" i="5"/>
  <c r="I50" i="5"/>
  <c r="I13" i="5"/>
  <c r="H46" i="5"/>
  <c r="H67" i="5"/>
  <c r="G63" i="5"/>
  <c r="F84" i="5"/>
  <c r="G48" i="5"/>
  <c r="H18" i="5"/>
  <c r="H49" i="5"/>
  <c r="B94" i="5"/>
  <c r="H66" i="5"/>
  <c r="I43" i="5"/>
  <c r="I21" i="5"/>
  <c r="G65" i="5"/>
  <c r="H42" i="5"/>
  <c r="H68" i="5"/>
  <c r="D51" i="5"/>
  <c r="H50" i="5"/>
  <c r="H53" i="5"/>
  <c r="E65" i="5"/>
  <c r="D27" i="5"/>
  <c r="F21" i="5"/>
  <c r="F69" i="5"/>
  <c r="B40" i="5"/>
  <c r="C65" i="5"/>
  <c r="E20" i="5"/>
  <c r="E58" i="5"/>
  <c r="G22" i="5"/>
  <c r="D68" i="5"/>
  <c r="D58" i="5"/>
  <c r="F41" i="5"/>
  <c r="G13" i="5"/>
  <c r="D77" i="5"/>
  <c r="G34" i="5"/>
  <c r="I80" i="5"/>
  <c r="E80" i="5"/>
  <c r="F60" i="5"/>
  <c r="B53" i="5"/>
  <c r="B96" i="5"/>
  <c r="E34" i="5"/>
  <c r="I62" i="5"/>
  <c r="C61" i="5"/>
  <c r="F78" i="5"/>
  <c r="G26" i="5"/>
  <c r="E12" i="5"/>
  <c r="E85" i="5"/>
  <c r="E21" i="5"/>
  <c r="E50" i="5"/>
  <c r="E67" i="5"/>
  <c r="G71" i="5"/>
  <c r="D38" i="5"/>
  <c r="C27" i="5"/>
  <c r="F66" i="5"/>
  <c r="I19" i="5"/>
  <c r="G37" i="5"/>
  <c r="H20" i="5"/>
  <c r="H37" i="5"/>
  <c r="E46" i="5"/>
  <c r="G82" i="5"/>
  <c r="F63" i="5"/>
  <c r="B15" i="5"/>
  <c r="B25" i="5"/>
  <c r="B75" i="5"/>
  <c r="F26" i="5"/>
  <c r="H43" i="5"/>
  <c r="G80" i="5"/>
  <c r="C41" i="5"/>
  <c r="B42" i="5"/>
  <c r="H33" i="5"/>
  <c r="D69" i="5"/>
  <c r="I12" i="5"/>
  <c r="I58" i="5"/>
  <c r="B74" i="5"/>
  <c r="D83" i="5"/>
  <c r="F46" i="5"/>
  <c r="H62" i="5"/>
  <c r="D12" i="5"/>
  <c r="I28" i="5"/>
  <c r="G61" i="5"/>
  <c r="C17" i="5"/>
  <c r="H79" i="5"/>
  <c r="E82" i="5"/>
  <c r="F48" i="5"/>
  <c r="G40" i="5"/>
  <c r="H65" i="5"/>
  <c r="I52" i="5"/>
  <c r="C57" i="5"/>
  <c r="C39" i="5"/>
  <c r="C67" i="5"/>
  <c r="I79" i="5"/>
  <c r="B93" i="5"/>
  <c r="G38" i="5"/>
  <c r="I20" i="5"/>
  <c r="E49" i="5"/>
  <c r="B13" i="5"/>
  <c r="I25" i="5"/>
  <c r="I42" i="5" l="1"/>
  <c r="E22" i="5"/>
  <c r="G12" i="5"/>
  <c r="E14" i="5"/>
  <c r="C79" i="5"/>
  <c r="C21" i="5"/>
  <c r="D54" i="5"/>
  <c r="D50" i="5"/>
  <c r="I67" i="5"/>
  <c r="B92" i="5"/>
  <c r="I92" i="5" s="1"/>
  <c r="C48" i="5"/>
  <c r="F15" i="5"/>
  <c r="I33" i="5"/>
  <c r="C52" i="5"/>
  <c r="B14" i="5"/>
  <c r="F30" i="5"/>
  <c r="G47" i="5"/>
  <c r="B63" i="5"/>
  <c r="C46" i="5"/>
  <c r="E72" i="5"/>
  <c r="H12" i="5"/>
  <c r="I24" i="5"/>
  <c r="E74" i="5"/>
  <c r="H78" i="5"/>
  <c r="F58" i="5"/>
  <c r="G25" i="5"/>
  <c r="E47" i="5"/>
  <c r="I53" i="5"/>
  <c r="B36" i="5"/>
  <c r="C14" i="5"/>
  <c r="H85" i="5"/>
  <c r="I15" i="5"/>
  <c r="B62" i="5"/>
  <c r="F42" i="5"/>
  <c r="H75" i="5"/>
  <c r="G42" i="5"/>
  <c r="E23" i="5"/>
  <c r="I44" i="5"/>
  <c r="E28" i="5"/>
  <c r="C82" i="5"/>
  <c r="B105" i="5"/>
  <c r="F23" i="5"/>
  <c r="B57" i="5"/>
  <c r="D76" i="5"/>
  <c r="B103" i="5"/>
  <c r="C23" i="5"/>
  <c r="B67" i="5"/>
  <c r="G23" i="5"/>
  <c r="C29" i="5"/>
  <c r="I56" i="5"/>
  <c r="F52" i="5"/>
  <c r="I45" i="5"/>
  <c r="C84" i="5"/>
  <c r="C63" i="5"/>
  <c r="I61" i="5"/>
  <c r="F14" i="5"/>
  <c r="E84" i="5"/>
  <c r="D65" i="5"/>
  <c r="H58" i="5"/>
  <c r="H84" i="5"/>
  <c r="H73" i="5"/>
  <c r="E66" i="5"/>
  <c r="H19" i="5"/>
  <c r="D55" i="5"/>
  <c r="B86" i="5"/>
  <c r="B37" i="5"/>
  <c r="B102" i="5"/>
  <c r="G102" i="5" s="1"/>
  <c r="B101" i="5"/>
  <c r="C101" i="5" s="1"/>
  <c r="I69" i="5"/>
  <c r="B54" i="5"/>
  <c r="F13" i="5"/>
  <c r="D19" i="5"/>
  <c r="D25" i="5"/>
  <c r="E42" i="5"/>
  <c r="H57" i="5"/>
  <c r="E44" i="5"/>
  <c r="H36" i="5"/>
  <c r="F28" i="5"/>
  <c r="C34" i="5"/>
  <c r="B31" i="5"/>
  <c r="F62" i="5"/>
  <c r="G83" i="5"/>
  <c r="E54" i="5"/>
  <c r="C13" i="5"/>
  <c r="I55" i="5"/>
  <c r="G78" i="5"/>
  <c r="G50" i="5"/>
  <c r="D15" i="5"/>
  <c r="G51" i="5"/>
  <c r="B47" i="5"/>
  <c r="E77" i="5"/>
  <c r="G19" i="5"/>
  <c r="C44" i="5"/>
  <c r="D48" i="5"/>
  <c r="C35" i="5"/>
  <c r="I57" i="5"/>
  <c r="F29" i="5"/>
  <c r="F38" i="5"/>
  <c r="D59" i="5"/>
  <c r="I35" i="5"/>
  <c r="I65" i="5"/>
  <c r="D23" i="5"/>
  <c r="E62" i="5"/>
  <c r="C58" i="5"/>
  <c r="B79" i="5"/>
  <c r="B97" i="5"/>
  <c r="D97" i="5" s="1"/>
  <c r="I60" i="5"/>
  <c r="B29" i="5"/>
  <c r="G28" i="5"/>
  <c r="H54" i="5"/>
  <c r="I72" i="5"/>
  <c r="G67" i="5"/>
  <c r="C38" i="5"/>
  <c r="C42" i="5"/>
  <c r="E45" i="5"/>
  <c r="C77" i="5"/>
  <c r="C24" i="5"/>
  <c r="F27" i="5"/>
  <c r="I37" i="5"/>
  <c r="G68" i="5"/>
  <c r="C56" i="5"/>
  <c r="B91" i="5"/>
  <c r="H17" i="5"/>
  <c r="G32" i="5"/>
  <c r="H25" i="5"/>
  <c r="D21" i="5"/>
  <c r="H24" i="5"/>
  <c r="C12" i="5"/>
  <c r="I16" i="5"/>
  <c r="C54" i="5"/>
  <c r="B21" i="5"/>
  <c r="G18" i="5"/>
  <c r="G44" i="5"/>
  <c r="H70" i="5"/>
  <c r="F81" i="5"/>
  <c r="B80" i="5"/>
  <c r="G41" i="5"/>
  <c r="B27" i="5"/>
  <c r="D14" i="5"/>
  <c r="F54" i="5"/>
  <c r="G59" i="5"/>
  <c r="B56" i="5"/>
  <c r="C31" i="5"/>
  <c r="I49" i="5"/>
  <c r="D32" i="5"/>
  <c r="C45" i="5"/>
  <c r="D82" i="5"/>
  <c r="B81" i="5"/>
  <c r="G85" i="5"/>
  <c r="H52" i="5"/>
  <c r="H44" i="5"/>
  <c r="B95" i="5"/>
  <c r="E95" i="5" s="1"/>
  <c r="B99" i="5"/>
  <c r="F99" i="5" s="1"/>
  <c r="B66" i="5"/>
  <c r="F34" i="5"/>
  <c r="G21" i="5"/>
  <c r="G16" i="5"/>
  <c r="E15" i="5"/>
  <c r="I76" i="5"/>
  <c r="I71" i="5"/>
  <c r="D52" i="5"/>
  <c r="E71" i="5"/>
  <c r="G52" i="5"/>
  <c r="E29" i="5"/>
  <c r="E73" i="5"/>
  <c r="B20" i="5"/>
  <c r="E35" i="5"/>
  <c r="D45" i="5"/>
  <c r="B35" i="5"/>
  <c r="B50" i="5"/>
  <c r="C55" i="5"/>
  <c r="B24" i="5"/>
  <c r="E75" i="5"/>
  <c r="D36" i="5"/>
  <c r="I54" i="5"/>
  <c r="I41" i="5"/>
  <c r="E63" i="5"/>
  <c r="F24" i="5"/>
  <c r="F67" i="5"/>
  <c r="E27" i="5"/>
  <c r="B38" i="5"/>
  <c r="E17" i="5"/>
  <c r="E39" i="5"/>
  <c r="E53" i="5"/>
  <c r="E59" i="5"/>
  <c r="F43" i="5"/>
  <c r="D49" i="5"/>
  <c r="D70" i="5"/>
  <c r="B52" i="5"/>
  <c r="I36" i="5"/>
  <c r="H83" i="5"/>
  <c r="B41" i="5"/>
  <c r="G27" i="5"/>
  <c r="F37" i="5"/>
  <c r="B90" i="5"/>
  <c r="H90" i="5" s="1"/>
  <c r="F39" i="5"/>
  <c r="C72" i="5"/>
  <c r="C60" i="5"/>
  <c r="C22" i="5"/>
  <c r="D34" i="5"/>
  <c r="E19" i="5"/>
  <c r="B98" i="5"/>
  <c r="G98" i="5" s="1"/>
  <c r="B61" i="5"/>
  <c r="B39" i="5"/>
  <c r="B83" i="5"/>
  <c r="G33" i="5"/>
  <c r="C20" i="5"/>
  <c r="B22" i="5"/>
  <c r="C18" i="5"/>
  <c r="D79" i="5"/>
  <c r="F72" i="5"/>
  <c r="D30" i="5"/>
  <c r="E13" i="5"/>
  <c r="I48" i="5"/>
  <c r="E24" i="5"/>
  <c r="E4" i="5"/>
  <c r="B11" i="5"/>
  <c r="A11" i="5" s="1"/>
  <c r="E11" i="5"/>
  <c r="F59" i="5"/>
  <c r="F22" i="5"/>
  <c r="H39" i="5"/>
  <c r="D37" i="5"/>
  <c r="B12" i="5"/>
  <c r="I29" i="5"/>
  <c r="B71" i="5"/>
  <c r="G66" i="5"/>
  <c r="C70" i="5"/>
  <c r="F16" i="5"/>
  <c r="I66" i="5"/>
  <c r="C53" i="5"/>
  <c r="E30" i="5"/>
  <c r="H63" i="5"/>
  <c r="F77" i="5"/>
  <c r="G58" i="5"/>
  <c r="H64" i="5"/>
  <c r="B55" i="5"/>
  <c r="I34" i="5"/>
  <c r="H41" i="5"/>
  <c r="D63" i="5"/>
  <c r="B18" i="5"/>
  <c r="H14" i="5"/>
  <c r="C25" i="5"/>
  <c r="D57" i="5"/>
  <c r="B30" i="5"/>
  <c r="B88" i="5"/>
  <c r="D88" i="5" s="1"/>
  <c r="B68" i="5"/>
  <c r="F80" i="5"/>
  <c r="C81" i="5"/>
  <c r="C47" i="5"/>
  <c r="B100" i="5"/>
  <c r="C100" i="5" s="1"/>
  <c r="G39" i="5"/>
  <c r="C51" i="5"/>
  <c r="D46" i="5"/>
  <c r="I82" i="5"/>
  <c r="D43" i="5"/>
  <c r="I47" i="5"/>
  <c r="H23" i="5"/>
  <c r="I18" i="5"/>
  <c r="B64" i="5"/>
  <c r="C66" i="5"/>
  <c r="G69" i="5"/>
  <c r="D29" i="5"/>
  <c r="B76" i="5"/>
  <c r="B82" i="5"/>
  <c r="E60" i="5"/>
  <c r="D73" i="5"/>
  <c r="F32" i="5"/>
  <c r="E16" i="5"/>
  <c r="C30" i="5"/>
  <c r="G77" i="5"/>
  <c r="F47" i="5"/>
  <c r="C59" i="5"/>
  <c r="B104" i="5"/>
  <c r="F104" i="5" s="1"/>
  <c r="C62" i="5"/>
  <c r="D40" i="5"/>
  <c r="F33" i="5"/>
  <c r="F45" i="5"/>
  <c r="C26" i="5"/>
  <c r="E31" i="5"/>
  <c r="I30" i="5"/>
  <c r="D74" i="5"/>
  <c r="B58" i="5"/>
  <c r="G76" i="5"/>
  <c r="D41" i="5"/>
  <c r="B33" i="5"/>
  <c r="G74" i="5"/>
  <c r="E41" i="5"/>
  <c r="F35" i="5"/>
  <c r="F17" i="5"/>
  <c r="D16" i="5"/>
  <c r="B77" i="5"/>
  <c r="H60" i="5"/>
  <c r="I81" i="5"/>
  <c r="I23" i="5"/>
  <c r="I70" i="5"/>
  <c r="I64" i="5"/>
  <c r="D66" i="5"/>
  <c r="B60" i="5"/>
  <c r="G31" i="5"/>
  <c r="G45" i="5"/>
  <c r="E55" i="5"/>
  <c r="E79" i="5"/>
  <c r="G84" i="5"/>
  <c r="E48" i="5"/>
  <c r="E36" i="5"/>
  <c r="G75" i="5"/>
  <c r="H59" i="5"/>
  <c r="D62" i="5"/>
  <c r="D28" i="5"/>
  <c r="D84" i="5"/>
  <c r="D39" i="5"/>
  <c r="G57" i="5"/>
  <c r="C28" i="5"/>
  <c r="C50" i="5"/>
  <c r="F11" i="5"/>
  <c r="I85" i="5"/>
  <c r="C75" i="5"/>
  <c r="G35" i="5"/>
  <c r="F50" i="5"/>
  <c r="G15" i="5"/>
  <c r="D18" i="5"/>
  <c r="H6" i="5"/>
  <c r="B59" i="5"/>
  <c r="I73" i="5"/>
  <c r="I51" i="5"/>
  <c r="B85" i="5"/>
  <c r="I78" i="5"/>
  <c r="E69" i="5"/>
  <c r="B43" i="5"/>
  <c r="D61" i="5"/>
  <c r="D67" i="5"/>
  <c r="G36" i="5"/>
  <c r="E38" i="5"/>
  <c r="I84" i="5"/>
  <c r="C8" i="5"/>
  <c r="H34" i="5"/>
  <c r="F56" i="5"/>
  <c r="F71" i="5"/>
  <c r="C73" i="5"/>
  <c r="F51" i="5"/>
  <c r="H9" i="5"/>
  <c r="C43" i="5"/>
  <c r="D13" i="5"/>
  <c r="B73" i="5"/>
  <c r="G24" i="5"/>
  <c r="H29" i="5"/>
  <c r="C33" i="5"/>
  <c r="D22" i="5"/>
  <c r="G72" i="5"/>
  <c r="H47" i="5"/>
  <c r="E33" i="5"/>
  <c r="E76" i="5"/>
  <c r="I75" i="5"/>
  <c r="G81" i="5"/>
  <c r="G10" i="5"/>
  <c r="H51" i="5"/>
  <c r="F53" i="5"/>
  <c r="F83" i="5"/>
  <c r="I22" i="5"/>
  <c r="H3" i="5"/>
  <c r="G53" i="5"/>
  <c r="B46" i="5"/>
  <c r="I74" i="5"/>
  <c r="E8" i="5"/>
  <c r="F74" i="5"/>
  <c r="E51" i="5"/>
  <c r="D4" i="5"/>
  <c r="D75" i="5"/>
  <c r="E78" i="5"/>
  <c r="D71" i="5"/>
  <c r="G49" i="5"/>
  <c r="F85" i="5"/>
  <c r="H77" i="5"/>
  <c r="B87" i="5"/>
  <c r="E87" i="5" s="1"/>
  <c r="H35" i="5"/>
  <c r="H27" i="5"/>
  <c r="F20" i="5"/>
  <c r="F12" i="5"/>
  <c r="B69" i="5"/>
  <c r="I14" i="5"/>
  <c r="H38" i="5"/>
  <c r="D81" i="5"/>
  <c r="E25" i="5"/>
  <c r="H13" i="5"/>
  <c r="D60" i="5"/>
  <c r="C69" i="5"/>
  <c r="B16" i="5"/>
  <c r="E43" i="5"/>
  <c r="E70" i="5"/>
  <c r="E32" i="5"/>
  <c r="H11" i="5"/>
  <c r="B8" i="5"/>
  <c r="A8" i="5" s="1"/>
  <c r="B5" i="5"/>
  <c r="A5" i="5" s="1"/>
  <c r="I3" i="5"/>
  <c r="I8" i="5"/>
  <c r="H7" i="5"/>
  <c r="D47" i="5"/>
  <c r="G79" i="5"/>
  <c r="I39" i="5"/>
  <c r="C15" i="5"/>
  <c r="G29" i="5"/>
  <c r="B23" i="5"/>
  <c r="B32" i="5"/>
  <c r="H22" i="5"/>
  <c r="E10" i="5"/>
  <c r="H40" i="5"/>
  <c r="E56" i="5"/>
  <c r="F82" i="5"/>
  <c r="D31" i="5"/>
  <c r="E52" i="5"/>
  <c r="H80" i="5"/>
  <c r="C71" i="5"/>
  <c r="C36" i="5"/>
  <c r="I38" i="5"/>
  <c r="H55" i="5"/>
  <c r="H56" i="5"/>
  <c r="F68" i="5"/>
  <c r="C16" i="5"/>
  <c r="G43" i="5"/>
  <c r="E6" i="5"/>
  <c r="D9" i="5"/>
  <c r="C7" i="5"/>
  <c r="D5" i="5"/>
  <c r="C4" i="5"/>
  <c r="I9" i="5"/>
  <c r="C9" i="5"/>
  <c r="D8" i="5"/>
  <c r="G7" i="5"/>
  <c r="G5" i="5"/>
  <c r="D85" i="5"/>
  <c r="H71" i="5"/>
  <c r="B44" i="5"/>
  <c r="D7" i="5"/>
  <c r="I6" i="5"/>
  <c r="B6" i="5"/>
  <c r="A6" i="5" s="1"/>
  <c r="B3" i="5"/>
  <c r="A3" i="5" s="1"/>
  <c r="I4" i="5"/>
  <c r="I40" i="5"/>
  <c r="F31" i="5"/>
  <c r="G55" i="5"/>
  <c r="F25" i="5"/>
  <c r="H28" i="5"/>
  <c r="D64" i="5"/>
  <c r="F61" i="5"/>
  <c r="F36" i="5"/>
  <c r="C49" i="5"/>
  <c r="I32" i="5"/>
  <c r="E68" i="5"/>
  <c r="G3" i="5"/>
  <c r="B4" i="5"/>
  <c r="A4" i="5" s="1"/>
  <c r="G6" i="5"/>
  <c r="F5" i="5"/>
  <c r="G4" i="5"/>
  <c r="F6" i="5"/>
  <c r="I26" i="5"/>
  <c r="H74" i="5"/>
  <c r="C6" i="5"/>
  <c r="E7" i="5"/>
  <c r="E5" i="5"/>
  <c r="B9" i="5"/>
  <c r="A9" i="5" s="1"/>
  <c r="F9" i="5"/>
  <c r="C5" i="5"/>
  <c r="G54" i="5"/>
  <c r="B65" i="5"/>
  <c r="C83" i="5"/>
  <c r="G14" i="5"/>
  <c r="H15" i="5"/>
  <c r="I10" i="5"/>
  <c r="F73" i="5"/>
  <c r="E81" i="5"/>
  <c r="F70" i="5"/>
  <c r="F55" i="5"/>
  <c r="I83" i="5"/>
  <c r="B7" i="5"/>
  <c r="A7" i="5" s="1"/>
  <c r="H5" i="5"/>
  <c r="G9" i="5"/>
  <c r="G8" i="5"/>
  <c r="H8" i="5"/>
  <c r="I5" i="5"/>
  <c r="D72" i="5"/>
  <c r="H2" i="5"/>
  <c r="D2" i="5"/>
  <c r="F3" i="5"/>
  <c r="C2" i="5"/>
  <c r="G2" i="5"/>
  <c r="B2" i="5"/>
  <c r="E3" i="5"/>
  <c r="D3" i="5"/>
  <c r="E2" i="5"/>
  <c r="F2" i="5"/>
  <c r="E9" i="5"/>
  <c r="C3" i="5"/>
  <c r="F8" i="5"/>
  <c r="H4" i="5"/>
  <c r="F4" i="5"/>
  <c r="I7" i="5"/>
  <c r="F7" i="5"/>
  <c r="D6" i="5"/>
  <c r="D80" i="5"/>
  <c r="B17" i="5"/>
  <c r="H61" i="5"/>
  <c r="F44" i="5"/>
  <c r="I46" i="5"/>
  <c r="D89" i="5"/>
  <c r="I89" i="5"/>
  <c r="E89" i="5"/>
  <c r="H89" i="5"/>
  <c r="G89" i="5"/>
  <c r="C89" i="5"/>
  <c r="F89" i="5"/>
  <c r="F86" i="5"/>
  <c r="G86" i="5"/>
  <c r="E86" i="5"/>
  <c r="D86" i="5"/>
  <c r="H86" i="5"/>
  <c r="C86" i="5"/>
  <c r="I86" i="5"/>
  <c r="G99" i="5"/>
  <c r="E93" i="5"/>
  <c r="I93" i="5"/>
  <c r="C93" i="5"/>
  <c r="G93" i="5"/>
  <c r="F93" i="5"/>
  <c r="H93" i="5"/>
  <c r="D93" i="5"/>
  <c r="I101" i="5"/>
  <c r="D101" i="5"/>
  <c r="E94" i="5"/>
  <c r="H94" i="5"/>
  <c r="F94" i="5"/>
  <c r="D94" i="5"/>
  <c r="C94" i="5"/>
  <c r="I94" i="5"/>
  <c r="G94" i="5"/>
  <c r="F90" i="5"/>
  <c r="G90" i="5"/>
  <c r="I90" i="5"/>
  <c r="E90" i="5"/>
  <c r="D90" i="5"/>
  <c r="I105" i="5"/>
  <c r="C105" i="5"/>
  <c r="G105" i="5"/>
  <c r="F105" i="5"/>
  <c r="E105" i="5"/>
  <c r="H105" i="5"/>
  <c r="D105" i="5"/>
  <c r="F88" i="5"/>
  <c r="C88" i="5"/>
  <c r="I88" i="5"/>
  <c r="G97" i="5"/>
  <c r="F97" i="5"/>
  <c r="E97" i="5"/>
  <c r="F91" i="5"/>
  <c r="I91" i="5"/>
  <c r="C91" i="5"/>
  <c r="D91" i="5"/>
  <c r="G91" i="5"/>
  <c r="E91" i="5"/>
  <c r="H91" i="5"/>
  <c r="I95" i="5"/>
  <c r="G95" i="5"/>
  <c r="F95" i="5"/>
  <c r="D87" i="5"/>
  <c r="G87" i="5"/>
  <c r="I87" i="5"/>
  <c r="H87" i="5"/>
  <c r="C87" i="5"/>
  <c r="F87" i="5"/>
  <c r="G64" i="5"/>
  <c r="C76" i="5"/>
  <c r="F79" i="5"/>
  <c r="B48" i="5"/>
  <c r="H76" i="5"/>
  <c r="G20" i="5"/>
  <c r="E83" i="5"/>
  <c r="H31" i="5"/>
  <c r="I17" i="5"/>
  <c r="G11" i="5"/>
  <c r="G46" i="5"/>
  <c r="H96" i="5"/>
  <c r="D96" i="5"/>
  <c r="E96" i="5"/>
  <c r="C96" i="5"/>
  <c r="I96" i="5"/>
  <c r="G96" i="5"/>
  <c r="F96" i="5"/>
  <c r="D102" i="5"/>
  <c r="I102" i="5"/>
  <c r="E102" i="5"/>
  <c r="C102" i="5"/>
  <c r="H102" i="5"/>
  <c r="H103" i="5"/>
  <c r="E103" i="5"/>
  <c r="D103" i="5"/>
  <c r="G103" i="5"/>
  <c r="I103" i="5"/>
  <c r="F103" i="5"/>
  <c r="C103" i="5"/>
  <c r="E92" i="5" l="1"/>
  <c r="C99" i="5"/>
  <c r="H92" i="5"/>
  <c r="E100" i="5"/>
  <c r="H99" i="5"/>
  <c r="F100" i="5"/>
  <c r="I99" i="5"/>
  <c r="I100" i="5"/>
  <c r="D99" i="5"/>
  <c r="D92" i="5"/>
  <c r="E99" i="5"/>
  <c r="H97" i="5"/>
  <c r="C92" i="5"/>
  <c r="I97" i="5"/>
  <c r="F102" i="5"/>
  <c r="C98" i="5"/>
  <c r="A2" i="5"/>
  <c r="N2" i="8"/>
  <c r="P2" i="8" s="1"/>
  <c r="J2" i="8"/>
  <c r="J13" i="8"/>
  <c r="N13" i="8"/>
  <c r="P13" i="8" s="1"/>
  <c r="N4" i="8"/>
  <c r="P4" i="8" s="1"/>
  <c r="J10" i="8"/>
  <c r="J7" i="8"/>
  <c r="J9" i="8"/>
  <c r="J3" i="8"/>
  <c r="N10" i="8"/>
  <c r="P10" i="8" s="1"/>
  <c r="N7" i="8"/>
  <c r="P7" i="8" s="1"/>
  <c r="J12" i="8"/>
  <c r="N3" i="8"/>
  <c r="P3" i="8" s="1"/>
  <c r="N12" i="8"/>
  <c r="P12" i="8" s="1"/>
  <c r="N9" i="8"/>
  <c r="P9" i="8" s="1"/>
  <c r="J6" i="8"/>
  <c r="J11" i="8"/>
  <c r="N8" i="8"/>
  <c r="P8" i="8" s="1"/>
  <c r="N6" i="8"/>
  <c r="P6" i="8" s="1"/>
  <c r="J4" i="8"/>
  <c r="J8" i="8"/>
  <c r="J5" i="8"/>
  <c r="N5" i="8"/>
  <c r="P5" i="8" s="1"/>
  <c r="N11" i="8"/>
  <c r="P11" i="8" s="1"/>
  <c r="D98" i="5"/>
  <c r="H98" i="5"/>
  <c r="E101" i="5"/>
  <c r="H95" i="5"/>
  <c r="H100" i="5"/>
  <c r="E98" i="5"/>
  <c r="G101" i="5"/>
  <c r="D100" i="5"/>
  <c r="F101" i="5"/>
  <c r="D95" i="5"/>
  <c r="C97" i="5"/>
  <c r="G100" i="5"/>
  <c r="C90" i="5"/>
  <c r="F98" i="5"/>
  <c r="H101" i="5"/>
  <c r="G92" i="5"/>
  <c r="C95" i="5"/>
  <c r="I98" i="5"/>
  <c r="F92" i="5"/>
  <c r="H88" i="5"/>
  <c r="E88" i="5"/>
  <c r="G88" i="5"/>
  <c r="D104" i="5"/>
  <c r="E104" i="5"/>
  <c r="H104" i="5"/>
  <c r="G104" i="5"/>
  <c r="I104" i="5"/>
  <c r="C104" i="5"/>
  <c r="F3" i="8"/>
  <c r="H3" i="8" s="1"/>
  <c r="F4" i="8"/>
  <c r="F9" i="8"/>
  <c r="H9" i="8" s="1"/>
  <c r="F7" i="8"/>
  <c r="F8" i="8"/>
  <c r="H8" i="8" s="1"/>
  <c r="F11" i="8"/>
  <c r="F12" i="8"/>
  <c r="H12" i="8" s="1"/>
  <c r="F5" i="8"/>
  <c r="F6" i="8"/>
  <c r="H6" i="8" s="1"/>
  <c r="F13" i="8"/>
  <c r="H13" i="8" s="1"/>
  <c r="F10" i="8"/>
  <c r="H10" i="8" s="1"/>
  <c r="G4" i="8" l="1"/>
  <c r="H4" i="8"/>
  <c r="G5" i="8"/>
  <c r="H5" i="8"/>
  <c r="G11" i="8"/>
  <c r="H11" i="8"/>
  <c r="G7" i="8"/>
  <c r="H7" i="8"/>
  <c r="G13" i="8"/>
  <c r="G8" i="8"/>
  <c r="G9" i="8"/>
  <c r="G10" i="8"/>
  <c r="G6" i="8"/>
  <c r="G3" i="8"/>
  <c r="G12" i="8"/>
  <c r="F2" i="8"/>
  <c r="H2" i="8" s="1"/>
  <c r="G2" i="8" l="1"/>
</calcChain>
</file>

<file path=xl/sharedStrings.xml><?xml version="1.0" encoding="utf-8"?>
<sst xmlns="http://schemas.openxmlformats.org/spreadsheetml/2006/main" count="382" uniqueCount="159">
  <si>
    <t>Item Name</t>
  </si>
  <si>
    <t>Item Code</t>
  </si>
  <si>
    <t>Category</t>
  </si>
  <si>
    <t>UOM</t>
  </si>
  <si>
    <t>Cost Price</t>
  </si>
  <si>
    <t>Sell Price</t>
  </si>
  <si>
    <t>Location</t>
  </si>
  <si>
    <t>Barcode</t>
  </si>
  <si>
    <t>SR1</t>
  </si>
  <si>
    <t>SR2</t>
  </si>
  <si>
    <t>SR3</t>
  </si>
  <si>
    <t>Batch Number</t>
  </si>
  <si>
    <t>Production Date</t>
  </si>
  <si>
    <t>Expiry Date</t>
  </si>
  <si>
    <t>Adjustment Type</t>
  </si>
  <si>
    <t>Adjustmentqty</t>
  </si>
  <si>
    <t>Item 001</t>
  </si>
  <si>
    <t>ITM0001</t>
  </si>
  <si>
    <t>GMA</t>
  </si>
  <si>
    <t>kg</t>
  </si>
  <si>
    <t>Storage A@A-1@B-1@L-1</t>
  </si>
  <si>
    <t>890000000001</t>
  </si>
  <si>
    <t>SR4040</t>
  </si>
  <si>
    <t>SR8173</t>
  </si>
  <si>
    <t>SR4875</t>
  </si>
  <si>
    <t>BN00001</t>
  </si>
  <si>
    <t>Addition</t>
  </si>
  <si>
    <t>Item 002</t>
  </si>
  <si>
    <t>ITM0002</t>
  </si>
  <si>
    <t>Gear</t>
  </si>
  <si>
    <t>ml</t>
  </si>
  <si>
    <t>Storage A@A-1@B-1@L-2</t>
  </si>
  <si>
    <t>SR6105</t>
  </si>
  <si>
    <t>SR3673</t>
  </si>
  <si>
    <t>SR2571</t>
  </si>
  <si>
    <t>BN00002</t>
  </si>
  <si>
    <t>Item 003</t>
  </si>
  <si>
    <t>ITM0003</t>
  </si>
  <si>
    <t>Parts</t>
  </si>
  <si>
    <t>Storage A@A-2@B-3@L-3</t>
  </si>
  <si>
    <t>890000000003</t>
  </si>
  <si>
    <t>SR1419</t>
  </si>
  <si>
    <t>SR9508</t>
  </si>
  <si>
    <t>SR7676</t>
  </si>
  <si>
    <t>BN00003</t>
  </si>
  <si>
    <t>Item 004</t>
  </si>
  <si>
    <t>ITM0004</t>
  </si>
  <si>
    <t>Vehicle</t>
  </si>
  <si>
    <t>Storage A@A-1@B-1@L-3</t>
  </si>
  <si>
    <t>890000000004</t>
  </si>
  <si>
    <t>SR3458</t>
  </si>
  <si>
    <t>SR6595</t>
  </si>
  <si>
    <t>SR7838</t>
  </si>
  <si>
    <t>BN00004</t>
  </si>
  <si>
    <t>Item 005</t>
  </si>
  <si>
    <t>ITM0005</t>
  </si>
  <si>
    <t>Storage A@A-2@B-3@L-4</t>
  </si>
  <si>
    <t>890000000005</t>
  </si>
  <si>
    <t>SR6439</t>
  </si>
  <si>
    <t>SR3122</t>
  </si>
  <si>
    <t>SR6930</t>
  </si>
  <si>
    <t>BN00005</t>
  </si>
  <si>
    <t>Item 006</t>
  </si>
  <si>
    <t>ITM0006</t>
  </si>
  <si>
    <t>Storage A@A-3@B-5@L-1</t>
  </si>
  <si>
    <t>890000000006</t>
  </si>
  <si>
    <t>SR2530</t>
  </si>
  <si>
    <t>SR3532</t>
  </si>
  <si>
    <t>SR5713</t>
  </si>
  <si>
    <t>BN00006</t>
  </si>
  <si>
    <t>Item 007</t>
  </si>
  <si>
    <t>ITM0007</t>
  </si>
  <si>
    <t>#$</t>
  </si>
  <si>
    <t>Storage A@A-3@B-5@L-2</t>
  </si>
  <si>
    <t>890000000007</t>
  </si>
  <si>
    <t>SR5967</t>
  </si>
  <si>
    <t>SR9075</t>
  </si>
  <si>
    <t>SR9639</t>
  </si>
  <si>
    <t>BN00007</t>
  </si>
  <si>
    <t>Item 008</t>
  </si>
  <si>
    <t>ITM0008</t>
  </si>
  <si>
    <t>%$</t>
  </si>
  <si>
    <t>Storage A@A-2@B-3@L-5</t>
  </si>
  <si>
    <t>890000000008</t>
  </si>
  <si>
    <t>SR9956</t>
  </si>
  <si>
    <t>SR1329</t>
  </si>
  <si>
    <t>SR7724</t>
  </si>
  <si>
    <t>BN00008</t>
  </si>
  <si>
    <t>Item 009</t>
  </si>
  <si>
    <t>ITM0009</t>
  </si>
  <si>
    <t>w</t>
  </si>
  <si>
    <t>Storage A@A-3@B-5@L-3</t>
  </si>
  <si>
    <t>890000000009</t>
  </si>
  <si>
    <t>SR9696</t>
  </si>
  <si>
    <t>SR9982</t>
  </si>
  <si>
    <t>SR8387</t>
  </si>
  <si>
    <t>BN00009</t>
  </si>
  <si>
    <t>Item 010</t>
  </si>
  <si>
    <t>ITM0010</t>
  </si>
  <si>
    <t>L</t>
  </si>
  <si>
    <t>Storage A@A-2@B-4@L-1</t>
  </si>
  <si>
    <t>890000000010</t>
  </si>
  <si>
    <t>SR4801</t>
  </si>
  <si>
    <t>SR2682</t>
  </si>
  <si>
    <t>SR6051</t>
  </si>
  <si>
    <t>BN00010</t>
  </si>
  <si>
    <t>locations</t>
  </si>
  <si>
    <t>code</t>
  </si>
  <si>
    <t>audited</t>
  </si>
  <si>
    <t>damaged</t>
  </si>
  <si>
    <t>auditor</t>
  </si>
  <si>
    <t>dine</t>
  </si>
  <si>
    <t>egggg tttt</t>
  </si>
  <si>
    <t>stock</t>
  </si>
  <si>
    <t>loss</t>
  </si>
  <si>
    <t>excess</t>
  </si>
  <si>
    <t>completed</t>
  </si>
  <si>
    <t>progress</t>
  </si>
  <si>
    <t>status</t>
  </si>
  <si>
    <t>Completed</t>
  </si>
  <si>
    <t>ABC1123</t>
  </si>
  <si>
    <t>S.No</t>
  </si>
  <si>
    <t>Auditor Name</t>
  </si>
  <si>
    <t>Audited Qty</t>
  </si>
  <si>
    <t>Damage Qty</t>
  </si>
  <si>
    <t>Stock Qty</t>
  </si>
  <si>
    <t>Audited Location</t>
  </si>
  <si>
    <t>count</t>
  </si>
  <si>
    <t>ABC11234</t>
  </si>
  <si>
    <t>Overall Audit Progress</t>
  </si>
  <si>
    <t>Audited Quantity</t>
  </si>
  <si>
    <t>Total Quantity</t>
  </si>
  <si>
    <t>Audited Items</t>
  </si>
  <si>
    <t>Total Items</t>
  </si>
  <si>
    <t>No of Auditors</t>
  </si>
  <si>
    <t xml:space="preserve"> Audit Progress</t>
  </si>
  <si>
    <t>Auditor-1</t>
  </si>
  <si>
    <t>Auditor-2</t>
  </si>
  <si>
    <t>Auditor</t>
  </si>
  <si>
    <t>Storage</t>
  </si>
  <si>
    <t>Stock Quantity</t>
  </si>
  <si>
    <t>Variance</t>
  </si>
  <si>
    <t>Variance Value</t>
  </si>
  <si>
    <t>Variance Type</t>
  </si>
  <si>
    <t>Damaged Qty</t>
  </si>
  <si>
    <t>Stock Location</t>
  </si>
  <si>
    <t>filter</t>
  </si>
  <si>
    <t>Damaged Filter</t>
  </si>
  <si>
    <t>Location Filter</t>
  </si>
  <si>
    <t>ITM00011</t>
  </si>
  <si>
    <t>ITM00012</t>
  </si>
  <si>
    <t>ITM00013</t>
  </si>
  <si>
    <t>ITM00014</t>
  </si>
  <si>
    <t>ITM00015</t>
  </si>
  <si>
    <t>ITM00016</t>
  </si>
  <si>
    <t>ITM00017</t>
  </si>
  <si>
    <t>ITM00018</t>
  </si>
  <si>
    <t>ITM00019</t>
  </si>
  <si>
    <t>ITM00020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</si>
</sst>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7"/>
      <color rgb="FFCE9178"/>
      <name val="Consolas"/>
      <family val="3"/>
    </font>
    <font>
      <sz val="11"/>
      <color theme="1"/>
      <name val="Calibri"/>
      <family val="2"/>
      <scheme val="minor"/>
    </font>
    <font>
      <sz val="5"/>
      <color rgb="FF21252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4" fillId="0" borderId="2" xfId="0" applyFont="1" applyBorder="1" applyAlignment="1">
      <alignment vertical="center"/>
    </xf>
    <xf numFmtId="164" fontId="5" fillId="0" borderId="0" xfId="1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" fontId="0" fillId="0" borderId="0" xfId="0" applyNumberFormat="1"/>
    <xf numFmtId="2" fontId="0" fillId="0" borderId="0" xfId="0" applyNumberFormat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vertic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vertical="center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9" fontId="0" fillId="0" borderId="0" xfId="2" applyFont="1"/>
    <xf numFmtId="0" fontId="9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8@11@2024" TargetMode="External"/><Relationship Id="rId1" Type="http://schemas.openxmlformats.org/officeDocument/2006/relationships/hyperlink" Target="mailto:28@11@20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28@11@2024" TargetMode="External"/><Relationship Id="rId1" Type="http://schemas.openxmlformats.org/officeDocument/2006/relationships/hyperlink" Target="mailto:28@11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"/>
  <sheetViews>
    <sheetView workbookViewId="0">
      <selection activeCell="F12" sqref="A1:XFD1048576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8.28515625" bestFit="1" customWidth="1"/>
    <col min="7" max="7" width="22.85546875" bestFit="1" customWidth="1"/>
    <col min="13" max="13" width="14.5703125" bestFit="1" customWidth="1"/>
    <col min="14" max="14" width="10.42578125" bestFit="1" customWidth="1"/>
    <col min="15" max="15" width="15.28515625" bestFit="1" customWidth="1"/>
    <col min="16" max="16" width="13.5703125" bestFit="1" customWidth="1"/>
    <col min="17" max="17" width="10.140625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tr">
        <f>A1</f>
        <v>Item Name</v>
      </c>
    </row>
    <row r="2" spans="1:17" ht="15.75" thickBot="1" x14ac:dyDescent="0.3">
      <c r="A2" t="s">
        <v>16</v>
      </c>
      <c r="B2" t="s">
        <v>17</v>
      </c>
      <c r="C2" t="s">
        <v>18</v>
      </c>
      <c r="D2" t="s">
        <v>19</v>
      </c>
      <c r="E2">
        <v>100</v>
      </c>
      <c r="F2">
        <v>100</v>
      </c>
      <c r="G2" s="5" t="s">
        <v>20</v>
      </c>
      <c r="H2" s="3" t="s">
        <v>21</v>
      </c>
      <c r="I2" t="s">
        <v>22</v>
      </c>
      <c r="J2" t="s">
        <v>23</v>
      </c>
      <c r="K2" t="s">
        <v>24</v>
      </c>
      <c r="L2" t="s">
        <v>25</v>
      </c>
      <c r="M2" s="6">
        <v>45624</v>
      </c>
      <c r="N2" s="2">
        <v>46171</v>
      </c>
      <c r="O2" t="s">
        <v>26</v>
      </c>
      <c r="P2">
        <v>10</v>
      </c>
      <c r="Q2" s="1" t="str">
        <f t="shared" ref="Q2:Q11" si="0">A2</f>
        <v>Item 001</v>
      </c>
    </row>
    <row r="3" spans="1:17" ht="15.75" thickBot="1" x14ac:dyDescent="0.3">
      <c r="A3" t="s">
        <v>27</v>
      </c>
      <c r="B3" t="s">
        <v>28</v>
      </c>
      <c r="C3" t="s">
        <v>29</v>
      </c>
      <c r="D3" t="s">
        <v>30</v>
      </c>
      <c r="E3">
        <v>100</v>
      </c>
      <c r="F3">
        <v>100</v>
      </c>
      <c r="G3" s="5" t="s">
        <v>31</v>
      </c>
      <c r="H3">
        <v>890000000002</v>
      </c>
      <c r="I3" t="s">
        <v>32</v>
      </c>
      <c r="J3" t="s">
        <v>33</v>
      </c>
      <c r="K3" t="s">
        <v>34</v>
      </c>
      <c r="L3" t="s">
        <v>35</v>
      </c>
      <c r="M3" s="6">
        <v>45625</v>
      </c>
      <c r="N3" s="2">
        <v>46171</v>
      </c>
      <c r="O3" t="s">
        <v>26</v>
      </c>
      <c r="P3">
        <v>10</v>
      </c>
      <c r="Q3" s="1" t="str">
        <f t="shared" si="0"/>
        <v>Item 002</v>
      </c>
    </row>
    <row r="4" spans="1:17" ht="15.75" thickBot="1" x14ac:dyDescent="0.3">
      <c r="A4" t="s">
        <v>36</v>
      </c>
      <c r="B4" t="s">
        <v>37</v>
      </c>
      <c r="C4" t="s">
        <v>38</v>
      </c>
      <c r="D4">
        <v>12</v>
      </c>
      <c r="E4">
        <v>100</v>
      </c>
      <c r="F4">
        <v>100</v>
      </c>
      <c r="G4" s="5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s="6">
        <v>45626</v>
      </c>
      <c r="N4" s="2">
        <v>46171</v>
      </c>
      <c r="O4" t="s">
        <v>26</v>
      </c>
      <c r="P4">
        <v>10</v>
      </c>
      <c r="Q4" s="1" t="str">
        <f t="shared" si="0"/>
        <v>Item 003</v>
      </c>
    </row>
    <row r="5" spans="1:17" ht="15.75" thickBot="1" x14ac:dyDescent="0.3">
      <c r="A5" t="s">
        <v>45</v>
      </c>
      <c r="B5" t="s">
        <v>46</v>
      </c>
      <c r="C5" t="s">
        <v>47</v>
      </c>
      <c r="D5">
        <v>0.22</v>
      </c>
      <c r="E5">
        <v>100</v>
      </c>
      <c r="F5">
        <v>100</v>
      </c>
      <c r="G5" s="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s="2">
        <v>45694</v>
      </c>
      <c r="N5" s="2">
        <v>46171</v>
      </c>
      <c r="O5" t="s">
        <v>26</v>
      </c>
      <c r="P5">
        <v>10</v>
      </c>
      <c r="Q5" s="1" t="str">
        <f t="shared" si="0"/>
        <v>Item 004</v>
      </c>
    </row>
    <row r="6" spans="1:17" ht="15.75" thickBot="1" x14ac:dyDescent="0.3">
      <c r="A6" t="s">
        <v>54</v>
      </c>
      <c r="B6" t="s">
        <v>55</v>
      </c>
      <c r="C6" t="s">
        <v>38</v>
      </c>
      <c r="D6">
        <v>12</v>
      </c>
      <c r="E6">
        <v>100</v>
      </c>
      <c r="F6">
        <v>100</v>
      </c>
      <c r="G6" s="5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s="2">
        <v>45749</v>
      </c>
      <c r="N6" s="2">
        <v>46403</v>
      </c>
      <c r="O6" t="s">
        <v>26</v>
      </c>
      <c r="P6">
        <v>10</v>
      </c>
      <c r="Q6" s="1" t="str">
        <f t="shared" si="0"/>
        <v>Item 005</v>
      </c>
    </row>
    <row r="7" spans="1:17" ht="15.75" thickBot="1" x14ac:dyDescent="0.3">
      <c r="A7" t="s">
        <v>62</v>
      </c>
      <c r="B7" t="s">
        <v>63</v>
      </c>
      <c r="C7" t="s">
        <v>38</v>
      </c>
      <c r="E7">
        <v>100</v>
      </c>
      <c r="F7">
        <v>100</v>
      </c>
      <c r="G7" s="5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s="2">
        <v>45631</v>
      </c>
      <c r="N7" s="2">
        <v>46642</v>
      </c>
      <c r="O7" t="s">
        <v>26</v>
      </c>
      <c r="P7">
        <v>10</v>
      </c>
      <c r="Q7" s="1" t="str">
        <f t="shared" si="0"/>
        <v>Item 006</v>
      </c>
    </row>
    <row r="8" spans="1:17" ht="15.75" thickBot="1" x14ac:dyDescent="0.3">
      <c r="A8" t="s">
        <v>70</v>
      </c>
      <c r="B8" t="s">
        <v>71</v>
      </c>
      <c r="C8" t="s">
        <v>47</v>
      </c>
      <c r="D8" t="s">
        <v>72</v>
      </c>
      <c r="E8">
        <v>100</v>
      </c>
      <c r="F8">
        <v>100</v>
      </c>
      <c r="G8" s="5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s="2">
        <v>45649</v>
      </c>
      <c r="N8" s="2">
        <v>46245</v>
      </c>
      <c r="O8" t="s">
        <v>26</v>
      </c>
      <c r="P8">
        <v>10</v>
      </c>
      <c r="Q8" s="1" t="str">
        <f t="shared" si="0"/>
        <v>Item 007</v>
      </c>
    </row>
    <row r="9" spans="1:17" ht="15.75" thickBot="1" x14ac:dyDescent="0.3">
      <c r="A9" t="s">
        <v>79</v>
      </c>
      <c r="B9" t="s">
        <v>80</v>
      </c>
      <c r="C9" t="s">
        <v>29</v>
      </c>
      <c r="D9" t="s">
        <v>81</v>
      </c>
      <c r="E9">
        <v>100</v>
      </c>
      <c r="F9">
        <v>100</v>
      </c>
      <c r="G9" s="5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s="2">
        <v>45806</v>
      </c>
      <c r="N9" s="2">
        <v>46763</v>
      </c>
      <c r="O9" t="s">
        <v>26</v>
      </c>
      <c r="P9">
        <v>10</v>
      </c>
      <c r="Q9" s="1" t="str">
        <f t="shared" si="0"/>
        <v>Item 008</v>
      </c>
    </row>
    <row r="10" spans="1:17" ht="15.75" thickBot="1" x14ac:dyDescent="0.3">
      <c r="A10" t="s">
        <v>88</v>
      </c>
      <c r="B10" t="s">
        <v>89</v>
      </c>
      <c r="C10" t="s">
        <v>18</v>
      </c>
      <c r="D10" t="s">
        <v>90</v>
      </c>
      <c r="E10">
        <v>100</v>
      </c>
      <c r="F10">
        <v>100</v>
      </c>
      <c r="G10" s="5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s="2">
        <v>45597</v>
      </c>
      <c r="N10" s="2">
        <v>46206</v>
      </c>
      <c r="O10" t="s">
        <v>26</v>
      </c>
      <c r="P10">
        <v>10</v>
      </c>
      <c r="Q10" s="1" t="str">
        <f t="shared" si="0"/>
        <v>Item 009</v>
      </c>
    </row>
    <row r="11" spans="1:17" ht="15.75" thickBot="1" x14ac:dyDescent="0.3">
      <c r="A11" t="s">
        <v>97</v>
      </c>
      <c r="B11" t="s">
        <v>98</v>
      </c>
      <c r="C11" t="s">
        <v>38</v>
      </c>
      <c r="D11" t="s">
        <v>99</v>
      </c>
      <c r="E11">
        <v>100</v>
      </c>
      <c r="F11">
        <v>100</v>
      </c>
      <c r="G11" s="5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s="2">
        <v>45719</v>
      </c>
      <c r="N11" s="2">
        <v>46486</v>
      </c>
      <c r="O11" t="s">
        <v>26</v>
      </c>
      <c r="P11">
        <v>10</v>
      </c>
      <c r="Q11" s="1" t="str">
        <f t="shared" si="0"/>
        <v>Item 010</v>
      </c>
    </row>
  </sheetData>
  <hyperlinks>
    <hyperlink ref="M2" r:id="rId1" display="28@11@2024" xr:uid="{00000000-0004-0000-0000-000000000000}"/>
    <hyperlink ref="M3:M4" r:id="rId2" display="28@11@2024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8D92-71C3-4E3C-8710-F2BB4AE1BC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7" sqref="D7"/>
    </sheetView>
  </sheetViews>
  <sheetFormatPr defaultRowHeight="15" x14ac:dyDescent="0.25"/>
  <cols>
    <col min="1" max="1" width="8.42578125" bestFit="1" customWidth="1"/>
    <col min="2" max="2" width="8.140625" bestFit="1" customWidth="1"/>
    <col min="3" max="3" width="22.85546875" bestFit="1" customWidth="1"/>
  </cols>
  <sheetData>
    <row r="1" spans="1:3" ht="15.75" thickBot="1" x14ac:dyDescent="0.3">
      <c r="A1" t="s">
        <v>138</v>
      </c>
      <c r="B1" t="s">
        <v>2</v>
      </c>
      <c r="C1" s="23" t="s">
        <v>139</v>
      </c>
    </row>
    <row r="2" spans="1:3" ht="15.75" thickBot="1" x14ac:dyDescent="0.3">
      <c r="A2" s="8" t="s">
        <v>111</v>
      </c>
      <c r="B2" t="s">
        <v>47</v>
      </c>
      <c r="C2" s="5" t="s">
        <v>56</v>
      </c>
    </row>
    <row r="3" spans="1:3" ht="15.75" thickBot="1" x14ac:dyDescent="0.3">
      <c r="A3" s="8" t="s">
        <v>112</v>
      </c>
      <c r="B3" t="s">
        <v>29</v>
      </c>
      <c r="C3" s="5" t="s">
        <v>64</v>
      </c>
    </row>
    <row r="4" spans="1:3" ht="15.75" thickBot="1" x14ac:dyDescent="0.3">
      <c r="A4" s="8" t="s">
        <v>111</v>
      </c>
      <c r="B4" t="s">
        <v>18</v>
      </c>
      <c r="C4" s="5" t="s">
        <v>73</v>
      </c>
    </row>
    <row r="5" spans="1:3" ht="15.75" thickBot="1" x14ac:dyDescent="0.3">
      <c r="A5" s="8" t="s">
        <v>112</v>
      </c>
      <c r="B5" t="s">
        <v>38</v>
      </c>
      <c r="C5" s="5" t="s">
        <v>82</v>
      </c>
    </row>
    <row r="6" spans="1:3" x14ac:dyDescent="0.25">
      <c r="A6" s="8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7"/>
  <sheetViews>
    <sheetView workbookViewId="0">
      <selection activeCell="H11" sqref="H11"/>
    </sheetView>
  </sheetViews>
  <sheetFormatPr defaultColWidth="8.7109375" defaultRowHeight="15" x14ac:dyDescent="0.25"/>
  <cols>
    <col min="1" max="1" width="22.85546875" bestFit="1" customWidth="1"/>
    <col min="8" max="8" width="10.85546875" customWidth="1"/>
    <col min="11" max="11" width="6.140625" bestFit="1" customWidth="1"/>
    <col min="12" max="12" width="9.7109375" bestFit="1" customWidth="1"/>
    <col min="14" max="14" width="10.42578125" customWidth="1"/>
  </cols>
  <sheetData>
    <row r="1" spans="1:14" x14ac:dyDescent="0.25">
      <c r="A1" s="12" t="s">
        <v>106</v>
      </c>
      <c r="B1" s="13" t="s">
        <v>107</v>
      </c>
      <c r="C1" s="13" t="s">
        <v>108</v>
      </c>
      <c r="D1" s="13" t="s">
        <v>109</v>
      </c>
      <c r="E1" t="s">
        <v>121</v>
      </c>
      <c r="F1" s="7" t="s">
        <v>110</v>
      </c>
      <c r="G1" s="7" t="s">
        <v>113</v>
      </c>
      <c r="H1" s="7" t="s">
        <v>108</v>
      </c>
      <c r="I1" s="7" t="s">
        <v>109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</row>
    <row r="2" spans="1:14" x14ac:dyDescent="0.25">
      <c r="A2" s="14" t="s">
        <v>39</v>
      </c>
      <c r="B2" s="13" t="s">
        <v>120</v>
      </c>
      <c r="C2" s="15">
        <v>10</v>
      </c>
      <c r="D2" s="16">
        <v>0</v>
      </c>
      <c r="E2">
        <v>1</v>
      </c>
      <c r="F2" s="8" t="s">
        <v>111</v>
      </c>
      <c r="G2">
        <f>IFERROR(VLOOKUP(B2,Data!$B:$P,15,FALSE)*VLOOKUP(B2,Data!$B:$P,4,FALSE),0)</f>
        <v>0</v>
      </c>
      <c r="H2">
        <f>IFERROR(VLOOKUP(B2,Data!$B:$P,4,FALSE)*C2,0)</f>
        <v>0</v>
      </c>
      <c r="I2">
        <f>IFERROR(VLOOKUP(B2,Data!$B:$P,4,FALSE)*D2,0)</f>
        <v>0</v>
      </c>
      <c r="J2" s="10">
        <f>IFERROR(MAX(0,(VLOOKUP(B2,Data!$B:$P,15,FALSE)-C2)*VLOOKUP(B2,Data!$B:$P,4,FALSE)),0)</f>
        <v>0</v>
      </c>
      <c r="K2" s="11">
        <f>IFERROR(MAX(0,(C2-(VLOOKUP(B2,Data!$B:$P,15,FALSE)))*VLOOKUP(B2,Data!$B:$P,4,FALSE)),0)</f>
        <v>0</v>
      </c>
      <c r="L2">
        <f>IFERROR(IFERROR(IF(0&gt;VLOOKUP(B2,Data!$B:$P,15,FALSE),0,C2),0),0)</f>
        <v>0</v>
      </c>
    </row>
    <row r="3" spans="1:14" x14ac:dyDescent="0.25">
      <c r="A3" s="17" t="s">
        <v>20</v>
      </c>
      <c r="B3" s="13" t="s">
        <v>17</v>
      </c>
      <c r="C3" s="16">
        <v>10</v>
      </c>
      <c r="D3" s="16">
        <v>10</v>
      </c>
      <c r="E3">
        <v>2</v>
      </c>
      <c r="F3" s="8" t="s">
        <v>111</v>
      </c>
      <c r="G3">
        <f>IFERROR(VLOOKUP(B3,Data!$B:$P,15,FALSE)*VLOOKUP(B3,Data!$B:$P,4,FALSE),0)</f>
        <v>1000</v>
      </c>
      <c r="H3">
        <f>IFERROR(VLOOKUP(B3,Data!$B:$P,4,FALSE)*C3,0)</f>
        <v>1000</v>
      </c>
      <c r="I3">
        <f>IFERROR(VLOOKUP(B3,Data!$B:$P,4,FALSE)*D3,0)</f>
        <v>1000</v>
      </c>
      <c r="J3" s="10">
        <f>IFERROR(MAX(0,(VLOOKUP(B3,Data!$B:$P,15,FALSE)-C3)*VLOOKUP(B3,Data!$B:$P,4,FALSE)),0)</f>
        <v>0</v>
      </c>
      <c r="K3" s="11">
        <f>IFERROR(MAX(0,(C3-(VLOOKUP(B3,Data!$B:$P,15,FALSE)))*VLOOKUP(B3,Data!$B:$P,4,FALSE)),0)</f>
        <v>0</v>
      </c>
      <c r="L3">
        <f>IFERROR(IFERROR(IF(0&gt;VLOOKUP(B3,Data!$B:$P,15,FALSE),0,C3),0),0)</f>
        <v>10</v>
      </c>
    </row>
    <row r="4" spans="1:14" x14ac:dyDescent="0.25">
      <c r="A4" s="17" t="s">
        <v>31</v>
      </c>
      <c r="B4" s="13" t="s">
        <v>28</v>
      </c>
      <c r="C4" s="16">
        <v>10</v>
      </c>
      <c r="D4" s="16">
        <v>5</v>
      </c>
      <c r="E4">
        <v>3</v>
      </c>
      <c r="F4" s="8" t="s">
        <v>111</v>
      </c>
      <c r="G4">
        <f>IFERROR(VLOOKUP(B4,Data!$B:$P,15,FALSE)*VLOOKUP(B4,Data!$B:$P,4,FALSE),0)</f>
        <v>1000</v>
      </c>
      <c r="H4">
        <f>IFERROR(VLOOKUP(B4,Data!$B:$P,4,FALSE)*C4,0)</f>
        <v>1000</v>
      </c>
      <c r="I4">
        <f>IFERROR(VLOOKUP(B4,Data!$B:$P,4,FALSE)*D4,0)</f>
        <v>500</v>
      </c>
      <c r="J4" s="10">
        <f>IFERROR(MAX(0,(VLOOKUP(B4,Data!$B:$P,15,FALSE)-C4)*VLOOKUP(B4,Data!$B:$P,4,FALSE)),0)</f>
        <v>0</v>
      </c>
      <c r="K4" s="11">
        <f>IFERROR(MAX(0,(C4-(VLOOKUP(B4,Data!$B:$P,15,FALSE)))*VLOOKUP(B4,Data!$B:$P,4,FALSE)),0)</f>
        <v>0</v>
      </c>
      <c r="L4">
        <f>IFERROR(IFERROR(IF(0&gt;VLOOKUP(B4,Data!$B:$P,15,FALSE),0,C4),0),0)</f>
        <v>10</v>
      </c>
    </row>
    <row r="5" spans="1:14" x14ac:dyDescent="0.25">
      <c r="A5" s="17" t="s">
        <v>39</v>
      </c>
      <c r="B5" s="13" t="s">
        <v>37</v>
      </c>
      <c r="C5" s="15"/>
      <c r="D5" s="15"/>
      <c r="E5">
        <v>4</v>
      </c>
      <c r="F5" s="8" t="s">
        <v>111</v>
      </c>
      <c r="G5">
        <f>IFERROR(VLOOKUP(B5,Data!$B:$P,15,FALSE)*VLOOKUP(B5,Data!$B:$P,4,FALSE),0)</f>
        <v>1000</v>
      </c>
      <c r="H5">
        <f>IFERROR(VLOOKUP(B5,Data!$B:$P,4,FALSE)*C5,0)</f>
        <v>0</v>
      </c>
      <c r="I5">
        <f>IFERROR(VLOOKUP(B5,Data!$B:$P,4,FALSE)*D5,0)</f>
        <v>0</v>
      </c>
      <c r="J5" s="10">
        <f>IFERROR(MAX(0,(VLOOKUP(B5,Data!$B:$P,15,FALSE)-C5)*VLOOKUP(B5,Data!$B:$P,4,FALSE)),0)</f>
        <v>1000</v>
      </c>
      <c r="K5" s="11">
        <f>IFERROR(MAX(0,(C5-(VLOOKUP(B5,Data!$B:$P,15,FALSE)))*VLOOKUP(B5,Data!$B:$P,4,FALSE)),0)</f>
        <v>0</v>
      </c>
      <c r="L5">
        <f>IFERROR(IFERROR(IF(0&gt;VLOOKUP(B5,Data!$B:$P,15,FALSE),0,C5),0),0)</f>
        <v>0</v>
      </c>
    </row>
    <row r="6" spans="1:14" x14ac:dyDescent="0.25">
      <c r="A6" s="17" t="s">
        <v>48</v>
      </c>
      <c r="B6" s="13" t="s">
        <v>46</v>
      </c>
      <c r="C6" s="16">
        <v>5</v>
      </c>
      <c r="D6" s="15"/>
      <c r="E6">
        <v>5</v>
      </c>
      <c r="F6" s="8" t="s">
        <v>111</v>
      </c>
      <c r="G6">
        <f>IFERROR(VLOOKUP(B6,Data!$B:$P,15,FALSE)*VLOOKUP(B6,Data!$B:$P,4,FALSE),0)</f>
        <v>1000</v>
      </c>
      <c r="H6">
        <f>IFERROR(VLOOKUP(B6,Data!$B:$P,4,FALSE)*C6,0)</f>
        <v>500</v>
      </c>
      <c r="I6">
        <f>IFERROR(VLOOKUP(B6,Data!$B:$P,4,FALSE)*D6,0)</f>
        <v>0</v>
      </c>
      <c r="J6" s="10">
        <f>IFERROR(MAX(0,(VLOOKUP(B6,Data!$B:$P,15,FALSE)-C6)*VLOOKUP(B6,Data!$B:$P,4,FALSE)),0)</f>
        <v>500</v>
      </c>
      <c r="K6" s="11">
        <f>IFERROR(MAX(0,(C6-(VLOOKUP(B6,Data!$B:$P,15,FALSE)))*VLOOKUP(B6,Data!$B:$P,4,FALSE)),0)</f>
        <v>0</v>
      </c>
      <c r="L6">
        <f>IFERROR(IFERROR(IF(0&gt;VLOOKUP(B6,Data!$B:$P,15,FALSE),0,C6),0),0)</f>
        <v>5</v>
      </c>
    </row>
    <row r="7" spans="1:14" x14ac:dyDescent="0.25">
      <c r="A7" s="17" t="s">
        <v>56</v>
      </c>
      <c r="B7" s="13" t="s">
        <v>55</v>
      </c>
      <c r="C7" s="15">
        <v>10</v>
      </c>
      <c r="D7" s="16">
        <v>5</v>
      </c>
      <c r="E7">
        <v>6</v>
      </c>
      <c r="F7" s="8" t="s">
        <v>111</v>
      </c>
      <c r="G7">
        <f>IFERROR(VLOOKUP(B7,Data!$B:$P,15,FALSE)*VLOOKUP(B7,Data!$B:$P,4,FALSE),0)</f>
        <v>1000</v>
      </c>
      <c r="H7">
        <f>IFERROR(VLOOKUP(B7,Data!$B:$P,4,FALSE)*C7,0)</f>
        <v>1000</v>
      </c>
      <c r="I7">
        <f>IFERROR(VLOOKUP(B7,Data!$B:$P,4,FALSE)*D7,0)</f>
        <v>500</v>
      </c>
      <c r="J7" s="10">
        <f>IFERROR(MAX(0,(VLOOKUP(B7,Data!$B:$P,15,FALSE)-C7)*VLOOKUP(B7,Data!$B:$P,4,FALSE)),0)</f>
        <v>0</v>
      </c>
      <c r="K7" s="11">
        <f>IFERROR(MAX(0,(C7-(VLOOKUP(B7,Data!$B:$P,15,FALSE)))*VLOOKUP(B7,Data!$B:$P,4,FALSE)),0)</f>
        <v>0</v>
      </c>
      <c r="L7">
        <f>IFERROR(IFERROR(IF(0&gt;VLOOKUP(B7,Data!$B:$P,15,FALSE),0,C7),0),0)</f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7"/>
  <sheetViews>
    <sheetView workbookViewId="0">
      <selection activeCell="A2" sqref="A2"/>
    </sheetView>
  </sheetViews>
  <sheetFormatPr defaultColWidth="8.7109375" defaultRowHeight="15" x14ac:dyDescent="0.25"/>
  <cols>
    <col min="1" max="1" width="22.85546875" bestFit="1" customWidth="1"/>
    <col min="8" max="8" width="11.42578125" bestFit="1" customWidth="1"/>
    <col min="10" max="10" width="9.42578125" bestFit="1" customWidth="1"/>
    <col min="11" max="11" width="10" bestFit="1" customWidth="1"/>
    <col min="12" max="12" width="9.7109375" bestFit="1" customWidth="1"/>
    <col min="14" max="14" width="6" bestFit="1" customWidth="1"/>
  </cols>
  <sheetData>
    <row r="1" spans="1:14" x14ac:dyDescent="0.25">
      <c r="A1" s="12" t="s">
        <v>106</v>
      </c>
      <c r="B1" s="13" t="s">
        <v>107</v>
      </c>
      <c r="C1" s="13" t="s">
        <v>108</v>
      </c>
      <c r="D1" s="13" t="s">
        <v>109</v>
      </c>
      <c r="E1" t="s">
        <v>121</v>
      </c>
      <c r="F1" s="7" t="s">
        <v>110</v>
      </c>
      <c r="G1" s="7" t="s">
        <v>113</v>
      </c>
      <c r="H1" s="7" t="s">
        <v>108</v>
      </c>
      <c r="I1" s="7" t="s">
        <v>109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</row>
    <row r="2" spans="1:14" x14ac:dyDescent="0.25">
      <c r="A2" s="14" t="s">
        <v>39</v>
      </c>
      <c r="B2" s="13" t="s">
        <v>128</v>
      </c>
      <c r="C2" s="15">
        <v>10</v>
      </c>
      <c r="D2" s="16">
        <v>0</v>
      </c>
      <c r="E2">
        <v>7</v>
      </c>
      <c r="F2" s="8" t="s">
        <v>112</v>
      </c>
      <c r="G2">
        <f>IFERROR(VLOOKUP(B2,Data!$B:$P,15,FALSE)*VLOOKUP(B2,Data!$B:$P,4,FALSE),0)</f>
        <v>0</v>
      </c>
      <c r="H2">
        <f>IFERROR(VLOOKUP(B2,Data!$B:$P,4,FALSE)*C2,0)</f>
        <v>0</v>
      </c>
      <c r="I2">
        <f>IFERROR(VLOOKUP(B2,Data!$B:$P,4,FALSE)*D2,0)</f>
        <v>0</v>
      </c>
      <c r="J2" s="10">
        <f>IFERROR(MAX(0,(VLOOKUP(B2,Data!$B:$P,15,FALSE)-C2)*VLOOKUP(B2,Data!$B:$P,4,FALSE)),0)</f>
        <v>0</v>
      </c>
      <c r="K2" s="11">
        <f>IFERROR(MAX(0,(C2-(VLOOKUP(B2,Data!$B:$P,15,FALSE)))*VLOOKUP(B2,Data!$B:$P,4,FALSE)),0)</f>
        <v>0</v>
      </c>
      <c r="L2">
        <f>IFERROR(IFERROR(IF(0&gt;VLOOKUP(B2,Data!$B:$P,15,FALSE),0,C2),0),0)</f>
        <v>0</v>
      </c>
    </row>
    <row r="3" spans="1:14" x14ac:dyDescent="0.25">
      <c r="A3" s="17" t="s">
        <v>64</v>
      </c>
      <c r="B3" s="13" t="s">
        <v>63</v>
      </c>
      <c r="C3" s="18">
        <v>10.1212</v>
      </c>
      <c r="D3" s="15">
        <v>1</v>
      </c>
      <c r="E3">
        <v>8</v>
      </c>
      <c r="F3" s="8" t="s">
        <v>112</v>
      </c>
      <c r="G3">
        <f>IFERROR(VLOOKUP(B3,Data!$B:$P,15,FALSE)*VLOOKUP(B3,Data!$B:$P,4,FALSE),0)</f>
        <v>1000</v>
      </c>
      <c r="H3">
        <f>IFERROR(VLOOKUP(B3,Data!$B:$P,4,FALSE)*C3,0)</f>
        <v>1012.12</v>
      </c>
      <c r="I3">
        <f>IFERROR(VLOOKUP(B3,Data!$B:$P,4,FALSE)*D3,0)</f>
        <v>100</v>
      </c>
      <c r="J3" s="10">
        <f>IFERROR(MAX(0,(VLOOKUP(B3,Data!$B:$P,15,FALSE)-C3)*VLOOKUP(B3,Data!$B:$P,4,FALSE)),0)</f>
        <v>0</v>
      </c>
      <c r="K3" s="11">
        <f>IFERROR(MAX(0,(C3-(VLOOKUP(B3,Data!$B:$P,15,FALSE)))*VLOOKUP(B3,Data!$B:$P,4,FALSE)),0)</f>
        <v>12.119999999999997</v>
      </c>
      <c r="L3">
        <f>IFERROR(IFERROR(IF(0&gt;VLOOKUP(B3,Data!$B:$P,15,FALSE),0,C3),0),0)</f>
        <v>10.1212</v>
      </c>
    </row>
    <row r="4" spans="1:14" x14ac:dyDescent="0.25">
      <c r="A4" s="17" t="s">
        <v>73</v>
      </c>
      <c r="B4" s="13" t="s">
        <v>71</v>
      </c>
      <c r="C4" s="18">
        <v>12.122</v>
      </c>
      <c r="D4" s="18">
        <v>0.21290000000000001</v>
      </c>
      <c r="E4">
        <v>9</v>
      </c>
      <c r="F4" s="8" t="s">
        <v>112</v>
      </c>
      <c r="G4">
        <f>IFERROR(VLOOKUP(B4,Data!$B:$P,15,FALSE)*VLOOKUP(B4,Data!$B:$P,4,FALSE),0)</f>
        <v>1000</v>
      </c>
      <c r="H4">
        <f>IFERROR(VLOOKUP(B4,Data!$B:$P,4,FALSE)*C4,0)</f>
        <v>1212.2</v>
      </c>
      <c r="I4">
        <f>IFERROR(VLOOKUP(B4,Data!$B:$P,4,FALSE)*D4,0)</f>
        <v>21.29</v>
      </c>
      <c r="J4" s="10">
        <f>IFERROR(MAX(0,(VLOOKUP(B4,Data!$B:$P,15,FALSE)-C4)*VLOOKUP(B4,Data!$B:$P,4,FALSE)),0)</f>
        <v>0</v>
      </c>
      <c r="K4" s="11">
        <f>IFERROR(MAX(0,(C4-(VLOOKUP(B4,Data!$B:$P,15,FALSE)))*VLOOKUP(B4,Data!$B:$P,4,FALSE)),0)</f>
        <v>212.2</v>
      </c>
      <c r="L4">
        <f>IFERROR(IFERROR(IF(0&gt;VLOOKUP(B4,Data!$B:$P,15,FALSE),0,C4),0),0)</f>
        <v>12.122</v>
      </c>
    </row>
    <row r="5" spans="1:14" x14ac:dyDescent="0.25">
      <c r="A5" s="17" t="s">
        <v>82</v>
      </c>
      <c r="B5" s="13" t="s">
        <v>80</v>
      </c>
      <c r="C5" s="19">
        <v>2.21</v>
      </c>
      <c r="D5" s="20">
        <v>0</v>
      </c>
      <c r="E5">
        <v>10</v>
      </c>
      <c r="F5" s="8" t="s">
        <v>112</v>
      </c>
      <c r="G5">
        <f>IFERROR(VLOOKUP(B5,Data!$B:$P,15,FALSE)*VLOOKUP(B5,Data!$B:$P,4,FALSE),0)</f>
        <v>1000</v>
      </c>
      <c r="H5">
        <f>IFERROR(VLOOKUP(B5,Data!$B:$P,4,FALSE)*C5,0)</f>
        <v>221</v>
      </c>
      <c r="I5">
        <f>IFERROR(VLOOKUP(B5,Data!$B:$P,4,FALSE)*D5,0)</f>
        <v>0</v>
      </c>
      <c r="J5" s="10">
        <f>IFERROR(MAX(0,(VLOOKUP(B5,Data!$B:$P,15,FALSE)-C5)*VLOOKUP(B5,Data!$B:$P,4,FALSE)),0)</f>
        <v>779</v>
      </c>
      <c r="K5" s="11">
        <f>IFERROR(MAX(0,(C5-(VLOOKUP(B5,Data!$B:$P,15,FALSE)))*VLOOKUP(B5,Data!$B:$P,4,FALSE)),0)</f>
        <v>0</v>
      </c>
      <c r="L5">
        <f>IFERROR(IFERROR(IF(0&gt;VLOOKUP(B5,Data!$B:$P,15,FALSE),0,C5),0),0)</f>
        <v>2.21</v>
      </c>
    </row>
    <row r="6" spans="1:14" x14ac:dyDescent="0.25">
      <c r="A6" s="17" t="s">
        <v>91</v>
      </c>
      <c r="B6" s="13" t="s">
        <v>89</v>
      </c>
      <c r="C6" s="19">
        <v>2.33</v>
      </c>
      <c r="D6" s="19">
        <v>4</v>
      </c>
      <c r="E6">
        <v>11</v>
      </c>
      <c r="F6" s="8" t="s">
        <v>112</v>
      </c>
      <c r="G6">
        <f>IFERROR(VLOOKUP(B6,Data!$B:$P,15,FALSE)*VLOOKUP(B6,Data!$B:$P,4,FALSE),0)</f>
        <v>1000</v>
      </c>
      <c r="H6">
        <f>IFERROR(VLOOKUP(B6,Data!$B:$P,4,FALSE)*C6,0)</f>
        <v>233</v>
      </c>
      <c r="I6">
        <f>IFERROR(VLOOKUP(B6,Data!$B:$P,4,FALSE)*D6,0)</f>
        <v>400</v>
      </c>
      <c r="J6" s="10">
        <f>IFERROR(MAX(0,(VLOOKUP(B6,Data!$B:$P,15,FALSE)-C6)*VLOOKUP(B6,Data!$B:$P,4,FALSE)),0)</f>
        <v>767</v>
      </c>
      <c r="K6" s="11">
        <f>IFERROR(MAX(0,(C6-(VLOOKUP(B6,Data!$B:$P,15,FALSE)))*VLOOKUP(B6,Data!$B:$P,4,FALSE)),0)</f>
        <v>0</v>
      </c>
      <c r="L6">
        <f>IFERROR(IFERROR(IF(0&gt;VLOOKUP(B6,Data!$B:$P,15,FALSE),0,C6),0),0)</f>
        <v>2.33</v>
      </c>
    </row>
    <row r="7" spans="1:14" x14ac:dyDescent="0.25">
      <c r="A7" s="17" t="s">
        <v>100</v>
      </c>
      <c r="B7" s="13" t="s">
        <v>98</v>
      </c>
      <c r="C7" s="16"/>
      <c r="D7" s="15"/>
      <c r="E7">
        <v>12</v>
      </c>
      <c r="F7" s="8" t="s">
        <v>112</v>
      </c>
      <c r="G7">
        <f>IFERROR(VLOOKUP(B7,Data!$B:$P,15,FALSE)*VLOOKUP(B7,Data!$B:$P,4,FALSE),0)</f>
        <v>1000</v>
      </c>
      <c r="H7">
        <f>IFERROR(VLOOKUP(B7,Data!$B:$P,4,FALSE)*C7,0)</f>
        <v>0</v>
      </c>
      <c r="I7">
        <f>IFERROR(VLOOKUP(B7,Data!$B:$P,4,FALSE)*D7,0)</f>
        <v>0</v>
      </c>
      <c r="J7" s="10">
        <f>IFERROR(MAX(0,(VLOOKUP(B7,Data!$B:$P,15,FALSE)-C7)*VLOOKUP(B7,Data!$B:$P,4,FALSE)),0)</f>
        <v>1000</v>
      </c>
      <c r="K7" s="11">
        <f>IFERROR(MAX(0,(C7-(VLOOKUP(B7,Data!$B:$P,15,FALSE)))*VLOOKUP(B7,Data!$B:$P,4,FALSE)),0)</f>
        <v>0</v>
      </c>
      <c r="L7">
        <f>IFERROR(IFERROR(IF(0&gt;VLOOKUP(B7,Data!$B:$P,15,FALSE),0,C7),0),0)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workbookViewId="0">
      <selection activeCell="D13" sqref="D13"/>
    </sheetView>
  </sheetViews>
  <sheetFormatPr defaultColWidth="8.5703125" defaultRowHeight="15" x14ac:dyDescent="0.25"/>
  <cols>
    <col min="2" max="2" width="21.85546875" customWidth="1"/>
    <col min="9" max="9" width="10" bestFit="1" customWidth="1"/>
  </cols>
  <sheetData>
    <row r="1" spans="1:9" x14ac:dyDescent="0.25">
      <c r="A1" s="7" t="s">
        <v>110</v>
      </c>
      <c r="B1" s="7" t="s">
        <v>113</v>
      </c>
      <c r="C1" s="7" t="s">
        <v>108</v>
      </c>
      <c r="D1" s="7" t="s">
        <v>109</v>
      </c>
      <c r="E1" s="7" t="s">
        <v>114</v>
      </c>
      <c r="F1" s="7" t="s">
        <v>115</v>
      </c>
      <c r="G1" s="7" t="s">
        <v>116</v>
      </c>
      <c r="H1" s="7" t="s">
        <v>117</v>
      </c>
      <c r="I1" s="7" t="s">
        <v>118</v>
      </c>
    </row>
    <row r="2" spans="1:9" x14ac:dyDescent="0.25">
      <c r="A2" s="8" t="s">
        <v>111</v>
      </c>
      <c r="B2" s="8">
        <f>SUMIFS(
 CHOOSE(COLUMN()-1,auditor_1!$G:$G,auditor_1!$H:$H,auditor_1!$I:$I,auditor_1!$J:$J,auditor_1!$K:$K,auditor_1!$L:$L),
 auditor_1!$F:$F,$A2
)</f>
        <v>5000</v>
      </c>
      <c r="C2" s="8">
        <f>SUMIFS(
 CHOOSE(COLUMN()-1,auditor_1!$G:$G,auditor_1!$H:$H,auditor_1!$I:$I,auditor_1!$J:$J,auditor_1!$K:$K,auditor_1!$L:$L),
 auditor_1!$F:$F,$A2
)</f>
        <v>3500</v>
      </c>
      <c r="D2" s="8">
        <f>SUMIFS(
 CHOOSE(COLUMN()-1,auditor_1!$G:$G,auditor_1!$H:$H,auditor_1!$I:$I,auditor_1!$J:$J,auditor_1!$K:$K,auditor_1!$L:$L),
 auditor_1!$F:$F,$A2
)</f>
        <v>2000</v>
      </c>
      <c r="E2" s="8">
        <f>SUMIFS(
 CHOOSE(COLUMN()-1,auditor_1!$G:$G,auditor_1!$H:$H,auditor_1!$I:$I,auditor_1!$J:$J,auditor_1!$K:$K,auditor_1!$L:$L),
 auditor_1!$F:$F,$A2
)</f>
        <v>1500</v>
      </c>
      <c r="F2" s="8">
        <f>SUMIFS(
 CHOOSE(COLUMN()-1,auditor_1!$G:$G,auditor_1!$H:$H,auditor_1!$I:$I,auditor_1!$J:$J,auditor_1!$K:$K,auditor_1!$L:$L),
 auditor_1!$F:$F,$A2
)</f>
        <v>0</v>
      </c>
      <c r="G2" s="8">
        <f>SUMIFS(
 CHOOSE(COLUMN()-1,auditor_1!$G:$G,auditor_1!$H:$H,auditor_1!$I:$I,auditor_1!$J:$J,auditor_1!$K:$K,auditor_1!$L:$L),
 auditor_1!$F:$F,$A2
)</f>
        <v>35</v>
      </c>
      <c r="H2" s="9">
        <f>sheet6!AH3</f>
        <v>0.77499999999999991</v>
      </c>
      <c r="I2" s="8" t="s">
        <v>119</v>
      </c>
    </row>
    <row r="3" spans="1:9" x14ac:dyDescent="0.25">
      <c r="A3" s="8" t="s">
        <v>112</v>
      </c>
      <c r="B3" s="8">
        <f>SUMIFS(
 CHOOSE(COLUMN()-1,auditor_2!$G:$G,auditor_2!$H:$H,auditor_2!$I:$I,auditor_2!$J:$J,auditor_2!$K:$K,auditor_2!$L:$L),
 auditor_2!$F:$F,$A3
)</f>
        <v>5000</v>
      </c>
      <c r="C3" s="8">
        <f>SUMIFS(
 CHOOSE(COLUMN()-1,auditor_2!$G:$G,auditor_2!$H:$H,auditor_2!$I:$I,auditor_2!$J:$J,auditor_2!$K:$K,auditor_2!$L:$L),
 auditor_2!$F:$F,$A3
)</f>
        <v>2678.32</v>
      </c>
      <c r="D3" s="8">
        <f>SUMIFS(
 CHOOSE(COLUMN()-1,auditor_2!$G:$G,auditor_2!$H:$H,auditor_2!$I:$I,auditor_2!$J:$J,auditor_2!$K:$K,auditor_2!$L:$L),
 auditor_2!$F:$F,$A3
)</f>
        <v>521.29</v>
      </c>
      <c r="E3" s="8">
        <f>SUMIFS(
 CHOOSE(COLUMN()-1,auditor_2!$G:$G,auditor_2!$H:$H,auditor_2!$I:$I,auditor_2!$J:$J,auditor_2!$K:$K,auditor_2!$L:$L),
 auditor_2!$F:$F,$A3
)</f>
        <v>2546</v>
      </c>
      <c r="F3" s="8">
        <f>SUMIFS(
 CHOOSE(COLUMN()-1,auditor_2!$G:$G,auditor_2!$H:$H,auditor_2!$I:$I,auditor_2!$J:$J,auditor_2!$K:$K,auditor_2!$L:$L),
 auditor_2!$F:$F,$A3
)</f>
        <v>224.32</v>
      </c>
      <c r="G3" s="8">
        <f>SUMIFS(
 CHOOSE(COLUMN()-1,auditor_2!$G:$G,auditor_2!$H:$H,auditor_2!$I:$I,auditor_2!$J:$J,auditor_2!$K:$K,auditor_2!$L:$L),
 auditor_2!$F:$F,$A3
)</f>
        <v>26.783200000000001</v>
      </c>
      <c r="H3" s="9">
        <f>sheet6!AH6</f>
        <v>0.65174799999999999</v>
      </c>
      <c r="I3" s="8" t="s">
        <v>119</v>
      </c>
    </row>
    <row r="8" spans="1:9" x14ac:dyDescent="0.25">
      <c r="I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"/>
  <sheetViews>
    <sheetView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9.42578125" bestFit="1" customWidth="1"/>
    <col min="2" max="2" width="10" bestFit="1" customWidth="1"/>
    <col min="4" max="4" width="12.85546875" bestFit="1" customWidth="1"/>
    <col min="5" max="5" width="22.42578125" bestFit="1" customWidth="1"/>
    <col min="6" max="6" width="8" customWidth="1"/>
    <col min="7" max="7" width="13.140625" customWidth="1"/>
    <col min="8" max="8" width="12.42578125" customWidth="1"/>
    <col min="9" max="9" width="12.140625" bestFit="1" customWidth="1"/>
    <col min="10" max="10" width="12.42578125" customWidth="1"/>
    <col min="11" max="11" width="15.85546875" customWidth="1"/>
    <col min="12" max="12" width="13" customWidth="1"/>
    <col min="13" max="13" width="22.42578125" customWidth="1"/>
    <col min="14" max="14" width="23.85546875" bestFit="1" customWidth="1"/>
    <col min="15" max="16" width="15.85546875" bestFit="1" customWidth="1"/>
    <col min="17" max="17" width="20.140625" bestFit="1" customWidth="1"/>
  </cols>
  <sheetData>
    <row r="1" spans="1:17" x14ac:dyDescent="0.25">
      <c r="A1" t="s">
        <v>1</v>
      </c>
      <c r="B1" t="s">
        <v>0</v>
      </c>
      <c r="C1" t="s">
        <v>3</v>
      </c>
      <c r="D1" t="s">
        <v>140</v>
      </c>
      <c r="E1" t="s">
        <v>123</v>
      </c>
      <c r="F1" t="s">
        <v>141</v>
      </c>
      <c r="G1" t="s">
        <v>142</v>
      </c>
      <c r="H1" t="s">
        <v>143</v>
      </c>
      <c r="I1" t="s">
        <v>144</v>
      </c>
      <c r="J1" t="s">
        <v>122</v>
      </c>
      <c r="M1" t="s">
        <v>145</v>
      </c>
      <c r="N1" t="s">
        <v>126</v>
      </c>
      <c r="O1" t="s">
        <v>147</v>
      </c>
      <c r="P1" t="s">
        <v>148</v>
      </c>
      <c r="Q1" t="s">
        <v>146</v>
      </c>
    </row>
    <row r="2" spans="1:17" x14ac:dyDescent="0.25">
      <c r="A2" t="str">
        <f>sheet6!B2</f>
        <v>ITM0010</v>
      </c>
      <c r="B2" t="str">
        <f>sheet6!C2</f>
        <v>Item 010</v>
      </c>
      <c r="C2" t="str">
        <f>IFERROR(
   IF(VLOOKUP(A2,Data!$B:$P,3,FALSE)="","",
      VLOOKUP(A2,Data!$B:$P,3,FALSE)
   ),
"")</f>
        <v>L</v>
      </c>
      <c r="D2">
        <f>IF(sheet6!H2="",0,sheet6!H2)</f>
        <v>10</v>
      </c>
      <c r="E2">
        <f>sheet6!F2</f>
        <v>0</v>
      </c>
      <c r="F2">
        <f t="shared" ref="F2:F6" si="0">IF(E2="","", IF(N(D2)=0, E2, E2-D2))</f>
        <v>-10</v>
      </c>
      <c r="G2" s="11">
        <f>IFERROR(VLOOKUP(A2,Data!$B:$P,4,FALSE)*F2,0)</f>
        <v>-1000</v>
      </c>
      <c r="H2" s="24" t="str">
        <f t="shared" ref="H2:H12" si="1">IF(VALUE(F2)&lt;0,"Negative",IF(VALUE(F2)&gt;0,"Positive","-"))</f>
        <v>Negative</v>
      </c>
      <c r="I2">
        <f>sheet6!G2</f>
        <v>0</v>
      </c>
      <c r="J2" t="str">
        <f>IFERROR(VLOOKUP(A2,Recently_Audit!B:I,4,FALSE),"")</f>
        <v/>
      </c>
      <c r="M2" t="str">
        <f>IFERROR(VLOOKUP(A2,Data!$B:$P,6,FALSE),"")</f>
        <v>Storage A@A-2@B-4@L-1</v>
      </c>
      <c r="N2" t="str">
        <f>IFERROR(VLOOKUP(A2,Recently_Audit!B:I,8,FALSE),"")</f>
        <v/>
      </c>
      <c r="O2" t="str">
        <f t="shared" ref="O2:O13" si="2">IF(I2&gt;0,"Damaged Report","")</f>
        <v/>
      </c>
      <c r="P2" t="str">
        <f>IF(M2&lt;&gt;N2,"Location Conflict","")</f>
        <v>Location Conflict</v>
      </c>
      <c r="Q2" t="str">
        <f>IF(AND(TRIM(D2)="",E2&gt;0),"Excess Line Item",
IF(AND(D2=0,E2&gt;0),"Excess Line Item",
IF(AND(D2&gt;0,E2=0),"Line Items Not Found",
IF(D2&gt;E2,"Negative Variance",
IF(E2&gt;D2,"Positive Variance",
IF(AND(D2&lt;&gt;"",E2&lt;&gt;""),"Matched Line Item",""))))))</f>
        <v>Line Items Not Found</v>
      </c>
    </row>
    <row r="3" spans="1:17" x14ac:dyDescent="0.25">
      <c r="A3" t="str">
        <f>sheet6!B3</f>
        <v>ITM0009</v>
      </c>
      <c r="B3" t="str">
        <f>sheet6!C3</f>
        <v>Item 009</v>
      </c>
      <c r="C3" t="str">
        <f>IFERROR(
   IF(VLOOKUP(A3,Data!$B:$P,3,FALSE)="","",
      VLOOKUP(A3,Data!$B:$P,3,FALSE)
   ),
"")</f>
        <v>w</v>
      </c>
      <c r="D3">
        <f>IF(sheet6!H3="",0,sheet6!H3)</f>
        <v>10</v>
      </c>
      <c r="E3">
        <f>sheet6!F3</f>
        <v>2.33</v>
      </c>
      <c r="F3">
        <f t="shared" si="0"/>
        <v>-7.67</v>
      </c>
      <c r="G3" s="11">
        <f>IFERROR(VLOOKUP(A3,Data!$B:$P,4,FALSE)*F3,0)</f>
        <v>-767</v>
      </c>
      <c r="H3" s="24" t="str">
        <f t="shared" si="1"/>
        <v>Negative</v>
      </c>
      <c r="I3">
        <f>sheet6!G3</f>
        <v>4</v>
      </c>
      <c r="J3" t="str">
        <f>IFERROR(VLOOKUP(A3,Recently_Audit!B:I,4,FALSE),"")</f>
        <v>egggg tttt</v>
      </c>
      <c r="M3" t="str">
        <f>IFERROR(VLOOKUP(A3,Data!$B:$P,6,FALSE),"")</f>
        <v>Storage A@A-3@B-5@L-3</v>
      </c>
      <c r="N3" t="str">
        <f>IFERROR(VLOOKUP(A3,Recently_Audit!B:I,8,FALSE),"")</f>
        <v>Storage A@A-3@B-5@L-3</v>
      </c>
      <c r="O3" t="str">
        <f t="shared" si="2"/>
        <v>Damaged Report</v>
      </c>
      <c r="P3" t="str">
        <f t="shared" ref="P3:P13" si="3">IF(M3&lt;&gt;N3,"Location Conflict","")</f>
        <v/>
      </c>
      <c r="Q3" t="str">
        <f t="shared" ref="Q3:Q13" si="4">IF(AND(TRIM(D3)="",E3&gt;0),"Excess Line Item",
IF(AND(D3=0,E3&gt;0),"Excess Line Item",
IF(AND(D3&gt;0,E3=0),"Line Items Not Found",
IF(D3&gt;E3,"Negative Variance",
IF(E3&gt;D3,"Positive Variance",
IF(AND(D3&lt;&gt;"",E3&lt;&gt;""),"Matched Line Item",""))))))</f>
        <v>Negative Variance</v>
      </c>
    </row>
    <row r="4" spans="1:17" x14ac:dyDescent="0.25">
      <c r="A4" t="str">
        <f>sheet6!B4</f>
        <v>ITM0008</v>
      </c>
      <c r="B4" t="str">
        <f>sheet6!C4</f>
        <v>Item 008</v>
      </c>
      <c r="C4" t="str">
        <f>IFERROR(
   IF(VLOOKUP(A4,Data!$B:$P,3,FALSE)="","",
      VLOOKUP(A4,Data!$B:$P,3,FALSE)
   ),
"")</f>
        <v>%$</v>
      </c>
      <c r="D4">
        <f>IF(sheet6!H4="",0,sheet6!H4)</f>
        <v>10</v>
      </c>
      <c r="E4">
        <f>sheet6!F4</f>
        <v>2.21</v>
      </c>
      <c r="F4">
        <f t="shared" si="0"/>
        <v>-7.79</v>
      </c>
      <c r="G4" s="11">
        <f>IFERROR(VLOOKUP(A4,Data!$B:$P,4,FALSE)*F4,0)</f>
        <v>-779</v>
      </c>
      <c r="H4" s="24" t="str">
        <f t="shared" si="1"/>
        <v>Negative</v>
      </c>
      <c r="I4">
        <f>sheet6!G4</f>
        <v>0</v>
      </c>
      <c r="J4" t="str">
        <f>IFERROR(VLOOKUP(A4,Recently_Audit!B:I,4,FALSE),"")</f>
        <v>egggg tttt</v>
      </c>
      <c r="M4" t="str">
        <f>IFERROR(VLOOKUP(A4,Data!$B:$P,6,FALSE),"")</f>
        <v>Storage A@A-2@B-3@L-5</v>
      </c>
      <c r="N4" t="str">
        <f>IFERROR(VLOOKUP(A4,Recently_Audit!B:I,8,FALSE),"")</f>
        <v>Storage A@A-2@B-3@L-5</v>
      </c>
      <c r="O4" t="str">
        <f t="shared" si="2"/>
        <v/>
      </c>
      <c r="P4" t="str">
        <f t="shared" si="3"/>
        <v/>
      </c>
      <c r="Q4" t="str">
        <f t="shared" si="4"/>
        <v>Negative Variance</v>
      </c>
    </row>
    <row r="5" spans="1:17" x14ac:dyDescent="0.25">
      <c r="A5" t="str">
        <f>sheet6!B5</f>
        <v>ITM0007</v>
      </c>
      <c r="B5" t="str">
        <f>sheet6!C5</f>
        <v>Item 007</v>
      </c>
      <c r="C5" t="str">
        <f>IFERROR(
   IF(VLOOKUP(A5,Data!$B:$P,3,FALSE)="","",
      VLOOKUP(A5,Data!$B:$P,3,FALSE)
   ),
"")</f>
        <v>#$</v>
      </c>
      <c r="D5">
        <f>IF(sheet6!H5="",0,sheet6!H5)</f>
        <v>10</v>
      </c>
      <c r="E5">
        <f>sheet6!F5</f>
        <v>12.122</v>
      </c>
      <c r="F5">
        <f t="shared" si="0"/>
        <v>2.1219999999999999</v>
      </c>
      <c r="G5" s="11">
        <f>IFERROR(VLOOKUP(A5,Data!$B:$P,4,FALSE)*F5,0)</f>
        <v>212.2</v>
      </c>
      <c r="H5" s="24" t="str">
        <f t="shared" si="1"/>
        <v>Positive</v>
      </c>
      <c r="I5">
        <f>sheet6!G5</f>
        <v>0.21290000000000001</v>
      </c>
      <c r="J5" t="str">
        <f>IFERROR(VLOOKUP(A5,Recently_Audit!B:I,4,FALSE),"")</f>
        <v>egggg tttt</v>
      </c>
      <c r="M5" t="str">
        <f>IFERROR(VLOOKUP(A5,Data!$B:$P,6,FALSE),"")</f>
        <v>Storage A@A-3@B-5@L-2</v>
      </c>
      <c r="N5" t="str">
        <f>IFERROR(VLOOKUP(A5,Recently_Audit!B:I,8,FALSE),"")</f>
        <v>Storage A@A-3@B-5@L-2</v>
      </c>
      <c r="O5" t="str">
        <f t="shared" si="2"/>
        <v>Damaged Report</v>
      </c>
      <c r="P5" t="str">
        <f t="shared" si="3"/>
        <v/>
      </c>
      <c r="Q5" t="str">
        <f t="shared" si="4"/>
        <v>Positive Variance</v>
      </c>
    </row>
    <row r="6" spans="1:17" s="25" customFormat="1" x14ac:dyDescent="0.25">
      <c r="A6" t="str">
        <f>sheet6!B6</f>
        <v>ITM0006</v>
      </c>
      <c r="B6" t="str">
        <f>sheet6!C6</f>
        <v>Item 006</v>
      </c>
      <c r="C6" t="str">
        <f>IFERROR(
   IF(VLOOKUP(A6,Data!$B:$P,3,FALSE)="","",
      VLOOKUP(A6,Data!$B:$P,3,FALSE)
   ),
"")</f>
        <v/>
      </c>
      <c r="D6">
        <f>IF(sheet6!H6="",0,sheet6!H6)</f>
        <v>10</v>
      </c>
      <c r="E6">
        <f>sheet6!F6</f>
        <v>10.1212</v>
      </c>
      <c r="F6">
        <f t="shared" si="0"/>
        <v>0.12119999999999997</v>
      </c>
      <c r="G6" s="11">
        <f>IFERROR(VLOOKUP(A6,Data!$B:$P,4,FALSE)*F6,0)</f>
        <v>12.119999999999997</v>
      </c>
      <c r="H6" s="24" t="str">
        <f t="shared" si="1"/>
        <v>Positive</v>
      </c>
      <c r="I6">
        <f>sheet6!G6</f>
        <v>1</v>
      </c>
      <c r="J6" t="str">
        <f>IFERROR(VLOOKUP(A6,Recently_Audit!B:I,4,FALSE),"")</f>
        <v>egggg tttt</v>
      </c>
      <c r="M6" t="str">
        <f>IFERROR(VLOOKUP(A6,Data!$B:$P,6,FALSE),"")</f>
        <v>Storage A@A-3@B-5@L-1</v>
      </c>
      <c r="N6" t="str">
        <f>IFERROR(VLOOKUP(A6,Recently_Audit!B:I,8,FALSE),"")</f>
        <v>Storage A@A-3@B-5@L-1</v>
      </c>
      <c r="O6" t="str">
        <f t="shared" si="2"/>
        <v>Damaged Report</v>
      </c>
      <c r="P6" t="str">
        <f t="shared" si="3"/>
        <v/>
      </c>
      <c r="Q6" t="str">
        <f t="shared" si="4"/>
        <v>Positive Variance</v>
      </c>
    </row>
    <row r="7" spans="1:17" x14ac:dyDescent="0.25">
      <c r="A7" t="str">
        <f>sheet6!B7</f>
        <v>ABC11234</v>
      </c>
      <c r="B7" t="str">
        <f>sheet6!C7</f>
        <v/>
      </c>
      <c r="C7" t="str">
        <f>IFERROR(
   IF(VLOOKUP(A7,Data!$B:$P,3,FALSE)="","",
      VLOOKUP(A7,Data!$B:$P,3,FALSE)
   ),
"")</f>
        <v/>
      </c>
      <c r="D7">
        <f>IF(sheet6!H7="",0,sheet6!H7)</f>
        <v>0</v>
      </c>
      <c r="E7">
        <f>sheet6!F7</f>
        <v>10</v>
      </c>
      <c r="F7">
        <f>IF(E7="","", IF(N(D7)=0, E7, E7-D7))</f>
        <v>10</v>
      </c>
      <c r="G7" s="11">
        <f>IFERROR(VLOOKUP(A7,Data!$B:$P,4,FALSE)*F7,0)</f>
        <v>0</v>
      </c>
      <c r="H7" s="24" t="str">
        <f t="shared" si="1"/>
        <v>Positive</v>
      </c>
      <c r="I7">
        <f>sheet6!G7</f>
        <v>0</v>
      </c>
      <c r="J7" t="str">
        <f>IFERROR(VLOOKUP(A7,Recently_Audit!B:I,4,FALSE),"")</f>
        <v>egggg tttt</v>
      </c>
      <c r="M7" t="str">
        <f>IFERROR(VLOOKUP(A7,Data!$B:$P,6,FALSE),"")</f>
        <v/>
      </c>
      <c r="N7" t="str">
        <f>IFERROR(VLOOKUP(A7,Recently_Audit!B:I,8,FALSE),"")</f>
        <v>Storage A@A-2@B-3@L-3</v>
      </c>
      <c r="O7" t="str">
        <f t="shared" si="2"/>
        <v/>
      </c>
      <c r="P7" t="str">
        <f>IF(M7&lt;&gt;N7,"Location Conflict","")</f>
        <v>Location Conflict</v>
      </c>
      <c r="Q7" t="str">
        <f t="shared" si="4"/>
        <v>Excess Line Item</v>
      </c>
    </row>
    <row r="8" spans="1:17" x14ac:dyDescent="0.25">
      <c r="A8" t="str">
        <f>sheet6!B8</f>
        <v>ITM0005</v>
      </c>
      <c r="B8" t="str">
        <f>sheet6!C8</f>
        <v>Item 005</v>
      </c>
      <c r="C8">
        <f>IFERROR(
   IF(VLOOKUP(A8,Data!$B:$P,3,FALSE)="","",
      VLOOKUP(A8,Data!$B:$P,3,FALSE)
   ),
"")</f>
        <v>12</v>
      </c>
      <c r="D8">
        <f>IF(sheet6!H8="",0,sheet6!H8)</f>
        <v>10</v>
      </c>
      <c r="E8">
        <f>sheet6!F8</f>
        <v>10</v>
      </c>
      <c r="F8">
        <f t="shared" ref="F8:F13" si="5">IF(E8="","", IF(N(D8)=0, E8, E8-D8))</f>
        <v>0</v>
      </c>
      <c r="G8" s="11">
        <f>IFERROR(VLOOKUP(A8,Data!$B:$P,4,FALSE)*F8,0)</f>
        <v>0</v>
      </c>
      <c r="H8" s="24" t="str">
        <f t="shared" si="1"/>
        <v>-</v>
      </c>
      <c r="I8">
        <f>sheet6!G8</f>
        <v>5</v>
      </c>
      <c r="J8" t="str">
        <f>IFERROR(VLOOKUP(A8,Recently_Audit!B:I,4,FALSE),"")</f>
        <v>dine</v>
      </c>
      <c r="M8" t="str">
        <f>IFERROR(VLOOKUP(A8,Data!$B:$P,6,FALSE),"")</f>
        <v>Storage A@A-2@B-3@L-4</v>
      </c>
      <c r="N8" t="str">
        <f>IFERROR(VLOOKUP(A8,Recently_Audit!B:I,8,FALSE),"")</f>
        <v>Storage A@A-2@B-3@L-4</v>
      </c>
      <c r="O8" t="str">
        <f t="shared" si="2"/>
        <v>Damaged Report</v>
      </c>
      <c r="P8" t="str">
        <f t="shared" si="3"/>
        <v/>
      </c>
      <c r="Q8" t="str">
        <f t="shared" si="4"/>
        <v>Matched Line Item</v>
      </c>
    </row>
    <row r="9" spans="1:17" x14ac:dyDescent="0.25">
      <c r="A9" t="str">
        <f>sheet6!B9</f>
        <v>ITM0004</v>
      </c>
      <c r="B9" t="str">
        <f>sheet6!C9</f>
        <v>Item 004</v>
      </c>
      <c r="C9">
        <f>IFERROR(
   IF(VLOOKUP(A9,Data!$B:$P,3,FALSE)="","",
      VLOOKUP(A9,Data!$B:$P,3,FALSE)
   ),
"")</f>
        <v>0.22</v>
      </c>
      <c r="D9">
        <f>IF(sheet6!H9="",0,sheet6!H9)</f>
        <v>10</v>
      </c>
      <c r="E9">
        <f>sheet6!F9</f>
        <v>5</v>
      </c>
      <c r="F9">
        <f t="shared" si="5"/>
        <v>-5</v>
      </c>
      <c r="G9" s="11">
        <f>IFERROR(VLOOKUP(A9,Data!$B:$P,4,FALSE)*F9,0)</f>
        <v>-500</v>
      </c>
      <c r="H9" s="24" t="str">
        <f t="shared" si="1"/>
        <v>Negative</v>
      </c>
      <c r="I9">
        <f>sheet6!G9</f>
        <v>0</v>
      </c>
      <c r="J9" t="str">
        <f>IFERROR(VLOOKUP(A9,Recently_Audit!B:I,4,FALSE),"")</f>
        <v>dine</v>
      </c>
      <c r="M9" t="str">
        <f>IFERROR(VLOOKUP(A9,Data!$B:$P,6,FALSE),"")</f>
        <v>Storage A@A-1@B-1@L-3</v>
      </c>
      <c r="N9" t="str">
        <f>IFERROR(VLOOKUP(A9,Recently_Audit!B:I,8,FALSE),"")</f>
        <v>Storage A@A-1@B-1@L-3</v>
      </c>
      <c r="O9" t="str">
        <f t="shared" si="2"/>
        <v/>
      </c>
      <c r="P9" t="str">
        <f t="shared" si="3"/>
        <v/>
      </c>
      <c r="Q9" t="str">
        <f t="shared" si="4"/>
        <v>Negative Variance</v>
      </c>
    </row>
    <row r="10" spans="1:17" x14ac:dyDescent="0.25">
      <c r="A10" t="str">
        <f>sheet6!B10</f>
        <v>ITM0003</v>
      </c>
      <c r="B10" t="str">
        <f>sheet6!C10</f>
        <v>Item 003</v>
      </c>
      <c r="C10">
        <f>IFERROR(
   IF(VLOOKUP(A10,Data!$B:$P,3,FALSE)="","",
      VLOOKUP(A10,Data!$B:$P,3,FALSE)
   ),
"")</f>
        <v>12</v>
      </c>
      <c r="D10">
        <f>IF(sheet6!H10="",0,sheet6!H10)</f>
        <v>10</v>
      </c>
      <c r="E10">
        <f>sheet6!F10</f>
        <v>0</v>
      </c>
      <c r="F10">
        <f t="shared" si="5"/>
        <v>-10</v>
      </c>
      <c r="G10" s="11">
        <f>IFERROR(VLOOKUP(A10,Data!$B:$P,4,FALSE)*F10,0)</f>
        <v>-1000</v>
      </c>
      <c r="H10" s="24" t="str">
        <f t="shared" si="1"/>
        <v>Negative</v>
      </c>
      <c r="I10">
        <f>sheet6!G10</f>
        <v>0</v>
      </c>
      <c r="J10" t="str">
        <f>IFERROR(VLOOKUP(A10,Recently_Audit!B:I,4,FALSE),"")</f>
        <v/>
      </c>
      <c r="M10" t="str">
        <f>IFERROR(VLOOKUP(A10,Data!$B:$P,6,FALSE),"")</f>
        <v>Storage A@A-2@B-3@L-3</v>
      </c>
      <c r="N10" t="str">
        <f>IFERROR(VLOOKUP(A10,Recently_Audit!B:I,8,FALSE),"")</f>
        <v/>
      </c>
      <c r="O10" t="str">
        <f t="shared" si="2"/>
        <v/>
      </c>
      <c r="P10" t="str">
        <f t="shared" si="3"/>
        <v>Location Conflict</v>
      </c>
      <c r="Q10" t="str">
        <f t="shared" si="4"/>
        <v>Line Items Not Found</v>
      </c>
    </row>
    <row r="11" spans="1:17" x14ac:dyDescent="0.25">
      <c r="A11" t="str">
        <f>sheet6!B11</f>
        <v>ITM0002</v>
      </c>
      <c r="B11" t="str">
        <f>sheet6!C11</f>
        <v>Item 002</v>
      </c>
      <c r="C11" t="str">
        <f>IFERROR(
   IF(VLOOKUP(A11,Data!$B:$P,3,FALSE)="","",
      VLOOKUP(A11,Data!$B:$P,3,FALSE)
   ),
"")</f>
        <v>ml</v>
      </c>
      <c r="D11">
        <f>IF(sheet6!H11="",0,sheet6!H11)</f>
        <v>10</v>
      </c>
      <c r="E11">
        <f>sheet6!F11</f>
        <v>10</v>
      </c>
      <c r="F11">
        <f t="shared" si="5"/>
        <v>0</v>
      </c>
      <c r="G11" s="11">
        <f>IFERROR(VLOOKUP(A11,Data!$B:$P,4,FALSE)*F11,0)</f>
        <v>0</v>
      </c>
      <c r="H11" s="24" t="str">
        <f t="shared" si="1"/>
        <v>-</v>
      </c>
      <c r="I11">
        <f>sheet6!G11</f>
        <v>5</v>
      </c>
      <c r="J11" t="str">
        <f>IFERROR(VLOOKUP(A11,Recently_Audit!B:I,4,FALSE),"")</f>
        <v>dine</v>
      </c>
      <c r="M11" t="str">
        <f>IFERROR(VLOOKUP(A11,Data!$B:$P,6,FALSE),"")</f>
        <v>Storage A@A-1@B-1@L-2</v>
      </c>
      <c r="N11" t="str">
        <f>IFERROR(VLOOKUP(A11,Recently_Audit!B:I,8,FALSE),"")</f>
        <v>Storage A@A-1@B-1@L-2</v>
      </c>
      <c r="O11" t="str">
        <f t="shared" si="2"/>
        <v>Damaged Report</v>
      </c>
      <c r="P11" t="str">
        <f t="shared" si="3"/>
        <v/>
      </c>
      <c r="Q11" t="str">
        <f t="shared" si="4"/>
        <v>Matched Line Item</v>
      </c>
    </row>
    <row r="12" spans="1:17" x14ac:dyDescent="0.25">
      <c r="A12" t="str">
        <f>sheet6!B12</f>
        <v>ITM0001</v>
      </c>
      <c r="B12" t="str">
        <f>sheet6!C12</f>
        <v>Item 001</v>
      </c>
      <c r="C12" t="str">
        <f>IFERROR(
   IF(VLOOKUP(A12,Data!$B:$P,3,FALSE)="","",
      VLOOKUP(A12,Data!$B:$P,3,FALSE)
   ),
"")</f>
        <v>kg</v>
      </c>
      <c r="D12">
        <f>IF(sheet6!H12="",0,sheet6!H12)</f>
        <v>10</v>
      </c>
      <c r="E12">
        <f>sheet6!F12</f>
        <v>10</v>
      </c>
      <c r="F12">
        <f t="shared" si="5"/>
        <v>0</v>
      </c>
      <c r="G12" s="11">
        <f>IFERROR(VLOOKUP(A12,Data!$B:$P,4,FALSE)*F12,0)</f>
        <v>0</v>
      </c>
      <c r="H12" s="24" t="str">
        <f t="shared" si="1"/>
        <v>-</v>
      </c>
      <c r="I12">
        <f>sheet6!G12</f>
        <v>10</v>
      </c>
      <c r="J12" t="str">
        <f>IFERROR(VLOOKUP(A12,Recently_Audit!B:I,4,FALSE),"")</f>
        <v>dine</v>
      </c>
      <c r="M12" t="str">
        <f>IFERROR(VLOOKUP(A12,Data!$B:$P,6,FALSE),"")</f>
        <v>Storage A@A-1@B-1@L-1</v>
      </c>
      <c r="N12" t="str">
        <f>IFERROR(VLOOKUP(A12,Recently_Audit!B:I,8,FALSE),"")</f>
        <v>Storage A@A-1@B-1@L-1</v>
      </c>
      <c r="O12" t="str">
        <f t="shared" si="2"/>
        <v>Damaged Report</v>
      </c>
      <c r="P12" t="str">
        <f t="shared" si="3"/>
        <v/>
      </c>
      <c r="Q12" t="str">
        <f t="shared" si="4"/>
        <v>Matched Line Item</v>
      </c>
    </row>
    <row r="13" spans="1:17" x14ac:dyDescent="0.25">
      <c r="A13" t="str">
        <f>sheet6!B13</f>
        <v>ABC1123</v>
      </c>
      <c r="B13" t="str">
        <f>sheet6!C13</f>
        <v/>
      </c>
      <c r="C13" t="str">
        <f>IFERROR(
   IF(VLOOKUP(A13,Data!$B:$P,3,FALSE)="","",
      VLOOKUP(A13,Data!$B:$P,3,FALSE)
   ),
"")</f>
        <v/>
      </c>
      <c r="D13">
        <f>IF(sheet6!H13="",0,sheet6!H13)</f>
        <v>0</v>
      </c>
      <c r="E13">
        <f>sheet6!F13</f>
        <v>10</v>
      </c>
      <c r="F13">
        <f t="shared" si="5"/>
        <v>10</v>
      </c>
      <c r="G13" s="11">
        <f>IFERROR(VLOOKUP(A13,Data!$B:$P,4,FALSE)*F13,0)</f>
        <v>0</v>
      </c>
      <c r="H13" s="24" t="str">
        <f>IF(VALUE(F13)&lt;0,"Negative",IF(VALUE(F13)&gt;0,"Positive","-"))</f>
        <v>Positive</v>
      </c>
      <c r="I13">
        <f>sheet6!G13</f>
        <v>0</v>
      </c>
      <c r="J13" t="str">
        <f>IFERROR(VLOOKUP(A13,Recently_Audit!B:I,4,FALSE),"")</f>
        <v>dine</v>
      </c>
      <c r="M13" t="str">
        <f>IFERROR(VLOOKUP(A13,Data!$B:$P,6,FALSE),"")</f>
        <v/>
      </c>
      <c r="N13" t="str">
        <f>IFERROR(VLOOKUP(A13,Recently_Audit!B:I,8,FALSE),"")</f>
        <v>Storage A@A-2@B-3@L-3</v>
      </c>
      <c r="O13" t="str">
        <f t="shared" si="2"/>
        <v/>
      </c>
      <c r="P13" t="str">
        <f t="shared" si="3"/>
        <v>Location Conflict</v>
      </c>
      <c r="Q13" t="str">
        <f t="shared" si="4"/>
        <v>Excess Line Item</v>
      </c>
    </row>
    <row r="14" spans="1:17" x14ac:dyDescent="0.25">
      <c r="A14" t="str">
        <f>sheet6!B14</f>
        <v/>
      </c>
      <c r="B14" t="str">
        <f>sheet6!C14</f>
        <v/>
      </c>
      <c r="C14" t="str">
        <f>IFERROR(VLOOKUP(A14,Data!$B:$P,3,FALSE),"")</f>
        <v/>
      </c>
    </row>
    <row r="15" spans="1:17" x14ac:dyDescent="0.25">
      <c r="A15" t="str">
        <f>sheet6!B15</f>
        <v/>
      </c>
      <c r="B15" t="str">
        <f>sheet6!C15</f>
        <v/>
      </c>
      <c r="C15" t="str">
        <f>IFERROR(VLOOKUP(A15,Data!$B:$P,3,FALSE),"")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I105"/>
  <sheetViews>
    <sheetView workbookViewId="0">
      <selection activeCell="I17" sqref="I17"/>
    </sheetView>
  </sheetViews>
  <sheetFormatPr defaultRowHeight="15" x14ac:dyDescent="0.25"/>
  <cols>
    <col min="1" max="1" width="9.5703125" customWidth="1"/>
    <col min="2" max="2" width="9.42578125" bestFit="1" customWidth="1"/>
    <col min="3" max="3" width="10" bestFit="1" customWidth="1"/>
    <col min="6" max="6" width="10.7109375" bestFit="1" customWidth="1"/>
    <col min="9" max="9" width="22.42578125" bestFit="1" customWidth="1"/>
  </cols>
  <sheetData>
    <row r="1" spans="1:9" x14ac:dyDescent="0.25">
      <c r="A1" t="s">
        <v>121</v>
      </c>
      <c r="B1" t="s">
        <v>1</v>
      </c>
      <c r="C1" t="s">
        <v>0</v>
      </c>
      <c r="D1" t="s">
        <v>3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 x14ac:dyDescent="0.25">
      <c r="A2">
        <f t="shared" ref="A2:A11" si="0">IF(B2="","",ROW()-1)</f>
        <v>1</v>
      </c>
      <c r="B2" t="str">
        <f>IFERROR(INDEX(sheet6!B:B, MATCH(ROW()-1, sheet6!$K:$K, 0)), "")</f>
        <v>ITM0009</v>
      </c>
      <c r="C2" t="str">
        <f>IFERROR(INDEX(sheet6!C:C, MATCH(ROW()-1, sheet6!$K:$K, 0)), "")</f>
        <v>Item 009</v>
      </c>
      <c r="D2" t="str">
        <f>IFERROR(INDEX(sheet6!D:D, MATCH(ROW()-1, sheet6!$K:$K, 0)), "")</f>
        <v>w</v>
      </c>
      <c r="E2" t="str">
        <f>IFERROR(INDEX(sheet6!E:E, MATCH(ROW()-1, sheet6!$K:$K, 0)), "")</f>
        <v>egggg tttt</v>
      </c>
      <c r="F2">
        <f>IFERROR(INDEX(sheet6!F:F, MATCH(ROW()-1, sheet6!$K:$K, 0)), "")</f>
        <v>2.33</v>
      </c>
      <c r="G2">
        <f>IFERROR(INDEX(sheet6!G:G, MATCH(ROW()-1, sheet6!$K:$K, 0)), "")</f>
        <v>4</v>
      </c>
      <c r="H2">
        <f>IFERROR(INDEX(sheet6!H:H, MATCH(ROW()-1, sheet6!$K:$K, 0)), "")</f>
        <v>10</v>
      </c>
      <c r="I2" t="str">
        <f>IFERROR(INDEX(sheet6!I:I, MATCH(ROW()-1, sheet6!$K:$K, 0)), "")</f>
        <v>Storage A@A-3@B-5@L-3</v>
      </c>
    </row>
    <row r="3" spans="1:9" x14ac:dyDescent="0.25">
      <c r="A3">
        <f t="shared" si="0"/>
        <v>2</v>
      </c>
      <c r="B3" t="str">
        <f>IFERROR(INDEX(sheet6!B:B, MATCH(ROW()-1, sheet6!$K:$K, 0)), "")</f>
        <v>ITM0008</v>
      </c>
      <c r="C3" t="str">
        <f>IFERROR(INDEX(sheet6!C:C, MATCH(ROW()-1, sheet6!$K:$K, 0)), "")</f>
        <v>Item 008</v>
      </c>
      <c r="D3" t="str">
        <f>IFERROR(INDEX(sheet6!D:D, MATCH(ROW()-1, sheet6!$K:$K, 0)), "")</f>
        <v>%$</v>
      </c>
      <c r="E3" t="str">
        <f>IFERROR(INDEX(sheet6!E:E, MATCH(ROW()-1, sheet6!$K:$K, 0)), "")</f>
        <v>egggg tttt</v>
      </c>
      <c r="F3">
        <f>IFERROR(INDEX(sheet6!F:F, MATCH(ROW()-1, sheet6!$K:$K, 0)), "")</f>
        <v>2.21</v>
      </c>
      <c r="G3">
        <f>IFERROR(INDEX(sheet6!G:G, MATCH(ROW()-1, sheet6!$K:$K, 0)), "")</f>
        <v>0</v>
      </c>
      <c r="H3">
        <f>IFERROR(INDEX(sheet6!H:H, MATCH(ROW()-1, sheet6!$K:$K, 0)), "")</f>
        <v>10</v>
      </c>
      <c r="I3" t="str">
        <f>IFERROR(INDEX(sheet6!I:I, MATCH(ROW()-1, sheet6!$K:$K, 0)), "")</f>
        <v>Storage A@A-2@B-3@L-5</v>
      </c>
    </row>
    <row r="4" spans="1:9" x14ac:dyDescent="0.25">
      <c r="A4">
        <f t="shared" si="0"/>
        <v>3</v>
      </c>
      <c r="B4" t="str">
        <f>IFERROR(INDEX(sheet6!B:B, MATCH(ROW()-1, sheet6!$K:$K, 0)), "")</f>
        <v>ITM0007</v>
      </c>
      <c r="C4" t="str">
        <f>IFERROR(INDEX(sheet6!C:C, MATCH(ROW()-1, sheet6!$K:$K, 0)), "")</f>
        <v>Item 007</v>
      </c>
      <c r="D4" t="str">
        <f>IFERROR(INDEX(sheet6!D:D, MATCH(ROW()-1, sheet6!$K:$K, 0)), "")</f>
        <v>#$</v>
      </c>
      <c r="E4" t="str">
        <f>IFERROR(INDEX(sheet6!E:E, MATCH(ROW()-1, sheet6!$K:$K, 0)), "")</f>
        <v>egggg tttt</v>
      </c>
      <c r="F4">
        <f>IFERROR(INDEX(sheet6!F:F, MATCH(ROW()-1, sheet6!$K:$K, 0)), "")</f>
        <v>12.122</v>
      </c>
      <c r="G4">
        <f>IFERROR(INDEX(sheet6!G:G, MATCH(ROW()-1, sheet6!$K:$K, 0)), "")</f>
        <v>0.21290000000000001</v>
      </c>
      <c r="H4">
        <f>IFERROR(INDEX(sheet6!H:H, MATCH(ROW()-1, sheet6!$K:$K, 0)), "")</f>
        <v>10</v>
      </c>
      <c r="I4" t="str">
        <f>IFERROR(INDEX(sheet6!I:I, MATCH(ROW()-1, sheet6!$K:$K, 0)), "")</f>
        <v>Storage A@A-3@B-5@L-2</v>
      </c>
    </row>
    <row r="5" spans="1:9" x14ac:dyDescent="0.25">
      <c r="A5">
        <f t="shared" si="0"/>
        <v>4</v>
      </c>
      <c r="B5" t="str">
        <f>IFERROR(INDEX(sheet6!B:B, MATCH(ROW()-1, sheet6!$K:$K, 0)), "")</f>
        <v>ITM0006</v>
      </c>
      <c r="C5" t="str">
        <f>IFERROR(INDEX(sheet6!C:C, MATCH(ROW()-1, sheet6!$K:$K, 0)), "")</f>
        <v>Item 006</v>
      </c>
      <c r="D5">
        <f>IFERROR(INDEX(sheet6!D:D, MATCH(ROW()-1, sheet6!$K:$K, 0)), "")</f>
        <v>0</v>
      </c>
      <c r="E5" t="str">
        <f>IFERROR(INDEX(sheet6!E:E, MATCH(ROW()-1, sheet6!$K:$K, 0)), "")</f>
        <v>egggg tttt</v>
      </c>
      <c r="F5">
        <f>IFERROR(INDEX(sheet6!F:F, MATCH(ROW()-1, sheet6!$K:$K, 0)), "")</f>
        <v>10.1212</v>
      </c>
      <c r="G5">
        <f>IFERROR(INDEX(sheet6!G:G, MATCH(ROW()-1, sheet6!$K:$K, 0)), "")</f>
        <v>1</v>
      </c>
      <c r="H5">
        <f>IFERROR(INDEX(sheet6!H:H, MATCH(ROW()-1, sheet6!$K:$K, 0)), "")</f>
        <v>10</v>
      </c>
      <c r="I5" t="str">
        <f>IFERROR(INDEX(sheet6!I:I, MATCH(ROW()-1, sheet6!$K:$K, 0)), "")</f>
        <v>Storage A@A-3@B-5@L-1</v>
      </c>
    </row>
    <row r="6" spans="1:9" x14ac:dyDescent="0.25">
      <c r="A6">
        <f t="shared" si="0"/>
        <v>5</v>
      </c>
      <c r="B6" t="str">
        <f>IFERROR(INDEX(sheet6!B:B, MATCH(ROW()-1, sheet6!$K:$K, 0)), "")</f>
        <v>ABC11234</v>
      </c>
      <c r="C6" t="str">
        <f>IFERROR(INDEX(sheet6!C:C, MATCH(ROW()-1, sheet6!$K:$K, 0)), "")</f>
        <v/>
      </c>
      <c r="D6" t="str">
        <f>IFERROR(INDEX(sheet6!D:D, MATCH(ROW()-1, sheet6!$K:$K, 0)), "")</f>
        <v/>
      </c>
      <c r="E6" t="str">
        <f>IFERROR(INDEX(sheet6!E:E, MATCH(ROW()-1, sheet6!$K:$K, 0)), "")</f>
        <v>egggg tttt</v>
      </c>
      <c r="F6">
        <f>IFERROR(INDEX(sheet6!F:F, MATCH(ROW()-1, sheet6!$K:$K, 0)), "")</f>
        <v>10</v>
      </c>
      <c r="G6">
        <f>IFERROR(INDEX(sheet6!G:G, MATCH(ROW()-1, sheet6!$K:$K, 0)), "")</f>
        <v>0</v>
      </c>
      <c r="H6" t="str">
        <f>IFERROR(INDEX(sheet6!H:H, MATCH(ROW()-1, sheet6!$K:$K, 0)), "")</f>
        <v/>
      </c>
      <c r="I6" t="str">
        <f>IFERROR(INDEX(sheet6!I:I, MATCH(ROW()-1, sheet6!$K:$K, 0)), "")</f>
        <v>Storage A@A-2@B-3@L-3</v>
      </c>
    </row>
    <row r="7" spans="1:9" x14ac:dyDescent="0.25">
      <c r="A7">
        <f t="shared" si="0"/>
        <v>6</v>
      </c>
      <c r="B7" t="str">
        <f>IFERROR(INDEX(sheet6!B:B, MATCH(ROW()-1, sheet6!$K:$K, 0)), "")</f>
        <v>ITM0005</v>
      </c>
      <c r="C7" t="str">
        <f>IFERROR(INDEX(sheet6!C:C, MATCH(ROW()-1, sheet6!$K:$K, 0)), "")</f>
        <v>Item 005</v>
      </c>
      <c r="D7">
        <f>IFERROR(INDEX(sheet6!D:D, MATCH(ROW()-1, sheet6!$K:$K, 0)), "")</f>
        <v>12</v>
      </c>
      <c r="E7" t="str">
        <f>IFERROR(INDEX(sheet6!E:E, MATCH(ROW()-1, sheet6!$K:$K, 0)), "")</f>
        <v>dine</v>
      </c>
      <c r="F7">
        <f>IFERROR(INDEX(sheet6!F:F, MATCH(ROW()-1, sheet6!$K:$K, 0)), "")</f>
        <v>10</v>
      </c>
      <c r="G7">
        <f>IFERROR(INDEX(sheet6!G:G, MATCH(ROW()-1, sheet6!$K:$K, 0)), "")</f>
        <v>5</v>
      </c>
      <c r="H7">
        <f>IFERROR(INDEX(sheet6!H:H, MATCH(ROW()-1, sheet6!$K:$K, 0)), "")</f>
        <v>10</v>
      </c>
      <c r="I7" t="str">
        <f>IFERROR(INDEX(sheet6!I:I, MATCH(ROW()-1, sheet6!$K:$K, 0)), "")</f>
        <v>Storage A@A-2@B-3@L-4</v>
      </c>
    </row>
    <row r="8" spans="1:9" x14ac:dyDescent="0.25">
      <c r="A8">
        <f t="shared" si="0"/>
        <v>7</v>
      </c>
      <c r="B8" t="str">
        <f>IFERROR(INDEX(sheet6!B:B, MATCH(ROW()-1, sheet6!$K:$K, 0)), "")</f>
        <v>ITM0004</v>
      </c>
      <c r="C8" t="str">
        <f>IFERROR(INDEX(sheet6!C:C, MATCH(ROW()-1, sheet6!$K:$K, 0)), "")</f>
        <v>Item 004</v>
      </c>
      <c r="D8">
        <f>IFERROR(INDEX(sheet6!D:D, MATCH(ROW()-1, sheet6!$K:$K, 0)), "")</f>
        <v>0.22</v>
      </c>
      <c r="E8" t="str">
        <f>IFERROR(INDEX(sheet6!E:E, MATCH(ROW()-1, sheet6!$K:$K, 0)), "")</f>
        <v>dine</v>
      </c>
      <c r="F8">
        <f>IFERROR(INDEX(sheet6!F:F, MATCH(ROW()-1, sheet6!$K:$K, 0)), "")</f>
        <v>5</v>
      </c>
      <c r="G8">
        <f>IFERROR(INDEX(sheet6!G:G, MATCH(ROW()-1, sheet6!$K:$K, 0)), "")</f>
        <v>0</v>
      </c>
      <c r="H8">
        <f>IFERROR(INDEX(sheet6!H:H, MATCH(ROW()-1, sheet6!$K:$K, 0)), "")</f>
        <v>10</v>
      </c>
      <c r="I8" t="str">
        <f>IFERROR(INDEX(sheet6!I:I, MATCH(ROW()-1, sheet6!$K:$K, 0)), "")</f>
        <v>Storage A@A-1@B-1@L-3</v>
      </c>
    </row>
    <row r="9" spans="1:9" x14ac:dyDescent="0.25">
      <c r="A9">
        <f t="shared" si="0"/>
        <v>8</v>
      </c>
      <c r="B9" t="str">
        <f>IFERROR(INDEX(sheet6!B:B, MATCH(ROW()-1, sheet6!$K:$K, 0)), "")</f>
        <v>ITM0002</v>
      </c>
      <c r="C9" t="str">
        <f>IFERROR(INDEX(sheet6!C:C, MATCH(ROW()-1, sheet6!$K:$K, 0)), "")</f>
        <v>Item 002</v>
      </c>
      <c r="D9" t="str">
        <f>IFERROR(INDEX(sheet6!D:D, MATCH(ROW()-1, sheet6!$K:$K, 0)), "")</f>
        <v>ml</v>
      </c>
      <c r="E9" t="str">
        <f>IFERROR(INDEX(sheet6!E:E, MATCH(ROW()-1, sheet6!$K:$K, 0)), "")</f>
        <v>dine</v>
      </c>
      <c r="F9">
        <f>IFERROR(INDEX(sheet6!F:F, MATCH(ROW()-1, sheet6!$K:$K, 0)), "")</f>
        <v>10</v>
      </c>
      <c r="G9">
        <f>IFERROR(INDEX(sheet6!G:G, MATCH(ROW()-1, sheet6!$K:$K, 0)), "")</f>
        <v>5</v>
      </c>
      <c r="H9">
        <f>IFERROR(INDEX(sheet6!H:H, MATCH(ROW()-1, sheet6!$K:$K, 0)), "")</f>
        <v>10</v>
      </c>
      <c r="I9" t="str">
        <f>IFERROR(INDEX(sheet6!I:I, MATCH(ROW()-1, sheet6!$K:$K, 0)), "")</f>
        <v>Storage A@A-1@B-1@L-2</v>
      </c>
    </row>
    <row r="10" spans="1:9" x14ac:dyDescent="0.25">
      <c r="A10">
        <f t="shared" si="0"/>
        <v>9</v>
      </c>
      <c r="B10" t="str">
        <f>IFERROR(INDEX(sheet6!B:B, MATCH(ROW()-1, sheet6!$K:$K, 0)), "")</f>
        <v>ITM0001</v>
      </c>
      <c r="C10" t="str">
        <f>IFERROR(INDEX(sheet6!C:C, MATCH(ROW()-1, sheet6!$K:$K, 0)), "")</f>
        <v>Item 001</v>
      </c>
      <c r="D10" t="str">
        <f>IFERROR(INDEX(sheet6!D:D, MATCH(ROW()-1, sheet6!$K:$K, 0)), "")</f>
        <v>kg</v>
      </c>
      <c r="E10" t="str">
        <f>IFERROR(INDEX(sheet6!E:E, MATCH(ROW()-1, sheet6!$K:$K, 0)), "")</f>
        <v>dine</v>
      </c>
      <c r="F10">
        <f>IFERROR(INDEX(sheet6!F:F, MATCH(ROW()-1, sheet6!$K:$K, 0)), "")</f>
        <v>10</v>
      </c>
      <c r="G10">
        <f>IFERROR(INDEX(sheet6!G:G, MATCH(ROW()-1, sheet6!$K:$K, 0)), "")</f>
        <v>10</v>
      </c>
      <c r="H10">
        <f>IFERROR(INDEX(sheet6!H:H, MATCH(ROW()-1, sheet6!$K:$K, 0)), "")</f>
        <v>10</v>
      </c>
      <c r="I10" t="str">
        <f>IFERROR(INDEX(sheet6!I:I, MATCH(ROW()-1, sheet6!$K:$K, 0)), "")</f>
        <v>Storage A@A-1@B-1@L-1</v>
      </c>
    </row>
    <row r="11" spans="1:9" x14ac:dyDescent="0.25">
      <c r="A11">
        <f t="shared" si="0"/>
        <v>10</v>
      </c>
      <c r="B11" t="str">
        <f>IFERROR(INDEX(sheet6!B:B, MATCH(ROW()-1, sheet6!$K:$K, 0)), "")</f>
        <v>ABC1123</v>
      </c>
      <c r="C11" t="str">
        <f>IFERROR(INDEX(sheet6!C:C, MATCH(ROW()-1, sheet6!$K:$K, 0)), "")</f>
        <v/>
      </c>
      <c r="D11" t="str">
        <f>IFERROR(INDEX(sheet6!D:D, MATCH(ROW()-1, sheet6!$K:$K, 0)), "")</f>
        <v/>
      </c>
      <c r="E11" t="str">
        <f>IFERROR(INDEX(sheet6!E:E, MATCH(ROW()-1, sheet6!$K:$K, 0)), "")</f>
        <v>dine</v>
      </c>
      <c r="F11">
        <f>IFERROR(INDEX(sheet6!F:F, MATCH(ROW()-1, sheet6!$K:$K, 0)), "")</f>
        <v>10</v>
      </c>
      <c r="G11">
        <f>IFERROR(INDEX(sheet6!G:G, MATCH(ROW()-1, sheet6!$K:$K, 0)), "")</f>
        <v>0</v>
      </c>
      <c r="H11" t="str">
        <f>IFERROR(INDEX(sheet6!H:H, MATCH(ROW()-1, sheet6!$K:$K, 0)), "")</f>
        <v/>
      </c>
      <c r="I11" t="str">
        <f>IFERROR(INDEX(sheet6!I:I, MATCH(ROW()-1, sheet6!$K:$K, 0)), "")</f>
        <v>Storage A@A-2@B-3@L-3</v>
      </c>
    </row>
    <row r="12" spans="1:9" x14ac:dyDescent="0.25">
      <c r="B12" t="str">
        <f>IFERROR(INDEX(sheet6!B:B, MATCH(ROW()-1, sheet6!$K:$K, 0)), "")</f>
        <v/>
      </c>
      <c r="C12" t="str">
        <f>IFERROR(INDEX(sheet6!C:C, MATCH(ROW()-1, sheet6!$K:$K, 0)), "")</f>
        <v/>
      </c>
      <c r="D12" t="str">
        <f>IFERROR(INDEX(sheet6!D:D, MATCH(ROW()-1, sheet6!$K:$K, 0)), "")</f>
        <v/>
      </c>
      <c r="E12" t="str">
        <f>IFERROR(INDEX(sheet6!E:E, MATCH(ROW()-1, sheet6!$K:$K, 0)), "")</f>
        <v/>
      </c>
      <c r="F12" t="str">
        <f>IFERROR(INDEX(sheet6!F:F, MATCH(ROW()-1, sheet6!$K:$K, 0)), "")</f>
        <v/>
      </c>
      <c r="G12" t="str">
        <f>IFERROR(INDEX(sheet6!G:G, MATCH(ROW()-1, sheet6!$K:$K, 0)), "")</f>
        <v/>
      </c>
      <c r="H12" t="str">
        <f>IFERROR(INDEX(sheet6!H:H, MATCH(ROW()-1, sheet6!$K:$K, 0)), "")</f>
        <v/>
      </c>
      <c r="I12" t="str">
        <f>IFERROR(INDEX(sheet6!I:I, MATCH(ROW()-1, sheet6!$K:$K, 0)), "")</f>
        <v/>
      </c>
    </row>
    <row r="13" spans="1:9" x14ac:dyDescent="0.25">
      <c r="B13" t="str">
        <f>IFERROR(INDEX(sheet6!B:B, MATCH(ROW()-1, sheet6!$K:$K, 0)), "")</f>
        <v/>
      </c>
      <c r="C13" t="str">
        <f>IFERROR(INDEX(sheet6!C:C, MATCH(ROW()-1, sheet6!$K:$K, 0)), "")</f>
        <v/>
      </c>
      <c r="D13" t="str">
        <f>IFERROR(INDEX(sheet6!D:D, MATCH(ROW()-1, sheet6!$K:$K, 0)), "")</f>
        <v/>
      </c>
      <c r="E13" t="str">
        <f>IFERROR(INDEX(sheet6!E:E, MATCH(ROW()-1, sheet6!$K:$K, 0)), "")</f>
        <v/>
      </c>
      <c r="F13" t="str">
        <f>IFERROR(INDEX(sheet6!F:F, MATCH(ROW()-1, sheet6!$K:$K, 0)), "")</f>
        <v/>
      </c>
      <c r="G13" t="str">
        <f>IFERROR(INDEX(sheet6!G:G, MATCH(ROW()-1, sheet6!$K:$K, 0)), "")</f>
        <v/>
      </c>
      <c r="H13" t="str">
        <f>IFERROR(INDEX(sheet6!H:H, MATCH(ROW()-1, sheet6!$K:$K, 0)), "")</f>
        <v/>
      </c>
      <c r="I13" t="str">
        <f>IFERROR(INDEX(sheet6!I:I, MATCH(ROW()-1, sheet6!$K:$K, 0)), "")</f>
        <v/>
      </c>
    </row>
    <row r="14" spans="1:9" x14ac:dyDescent="0.25">
      <c r="B14" t="str">
        <f>IFERROR(INDEX(sheet6!B:B, MATCH(ROW()-1, sheet6!$K:$K, 0)), "")</f>
        <v/>
      </c>
      <c r="C14" t="str">
        <f>IFERROR(INDEX(sheet6!C:C, MATCH(ROW()-1, sheet6!$K:$K, 0)), "")</f>
        <v/>
      </c>
      <c r="D14" t="str">
        <f>IFERROR(INDEX(sheet6!D:D, MATCH(ROW()-1, sheet6!$K:$K, 0)), "")</f>
        <v/>
      </c>
      <c r="E14" t="str">
        <f>IFERROR(INDEX(sheet6!E:E, MATCH(ROW()-1, sheet6!$K:$K, 0)), "")</f>
        <v/>
      </c>
      <c r="F14" t="str">
        <f>IFERROR(INDEX(sheet6!F:F, MATCH(ROW()-1, sheet6!$K:$K, 0)), "")</f>
        <v/>
      </c>
      <c r="G14" t="str">
        <f>IFERROR(INDEX(sheet6!G:G, MATCH(ROW()-1, sheet6!$K:$K, 0)), "")</f>
        <v/>
      </c>
      <c r="H14" t="str">
        <f>IFERROR(INDEX(sheet6!H:H, MATCH(ROW()-1, sheet6!$K:$K, 0)), "")</f>
        <v/>
      </c>
      <c r="I14" t="str">
        <f>IFERROR(INDEX(sheet6!I:I, MATCH(ROW()-1, sheet6!$K:$K, 0)), "")</f>
        <v/>
      </c>
    </row>
    <row r="15" spans="1:9" x14ac:dyDescent="0.25">
      <c r="B15" t="str">
        <f>IFERROR(INDEX(sheet6!B:B, MATCH(ROW()-1, sheet6!$K:$K, 0)), "")</f>
        <v/>
      </c>
      <c r="C15" t="str">
        <f>IFERROR(INDEX(sheet6!C:C, MATCH(ROW()-1, sheet6!$K:$K, 0)), "")</f>
        <v/>
      </c>
      <c r="D15" t="str">
        <f>IFERROR(INDEX(sheet6!D:D, MATCH(ROW()-1, sheet6!$K:$K, 0)), "")</f>
        <v/>
      </c>
      <c r="E15" t="str">
        <f>IFERROR(INDEX(sheet6!E:E, MATCH(ROW()-1, sheet6!$K:$K, 0)), "")</f>
        <v/>
      </c>
      <c r="F15" t="str">
        <f>IFERROR(INDEX(sheet6!F:F, MATCH(ROW()-1, sheet6!$K:$K, 0)), "")</f>
        <v/>
      </c>
      <c r="G15" t="str">
        <f>IFERROR(INDEX(sheet6!G:G, MATCH(ROW()-1, sheet6!$K:$K, 0)), "")</f>
        <v/>
      </c>
      <c r="H15" t="str">
        <f>IFERROR(INDEX(sheet6!H:H, MATCH(ROW()-1, sheet6!$K:$K, 0)), "")</f>
        <v/>
      </c>
      <c r="I15" t="str">
        <f>IFERROR(INDEX(sheet6!I:I, MATCH(ROW()-1, sheet6!$K:$K, 0)), "")</f>
        <v/>
      </c>
    </row>
    <row r="16" spans="1:9" x14ac:dyDescent="0.25">
      <c r="B16" t="str">
        <f>IFERROR(INDEX(sheet6!B:B, MATCH(ROW()-1, sheet6!$K:$K, 0)), "")</f>
        <v/>
      </c>
      <c r="C16" t="str">
        <f>IFERROR(INDEX(sheet6!C:C, MATCH(ROW()-1, sheet6!$K:$K, 0)), "")</f>
        <v/>
      </c>
      <c r="D16" t="str">
        <f>IFERROR(INDEX(sheet6!D:D, MATCH(ROW()-1, sheet6!$K:$K, 0)), "")</f>
        <v/>
      </c>
      <c r="E16" t="str">
        <f>IFERROR(INDEX(sheet6!E:E, MATCH(ROW()-1, sheet6!$K:$K, 0)), "")</f>
        <v/>
      </c>
      <c r="F16" t="str">
        <f>IFERROR(INDEX(sheet6!F:F, MATCH(ROW()-1, sheet6!$K:$K, 0)), "")</f>
        <v/>
      </c>
      <c r="G16" t="str">
        <f>IFERROR(INDEX(sheet6!G:G, MATCH(ROW()-1, sheet6!$K:$K, 0)), "")</f>
        <v/>
      </c>
      <c r="H16" t="str">
        <f>IFERROR(INDEX(sheet6!H:H, MATCH(ROW()-1, sheet6!$K:$K, 0)), "")</f>
        <v/>
      </c>
      <c r="I16" t="str">
        <f>IFERROR(INDEX(sheet6!I:I, MATCH(ROW()-1, sheet6!$K:$K, 0)), "")</f>
        <v/>
      </c>
    </row>
    <row r="17" spans="2:9" x14ac:dyDescent="0.25">
      <c r="B17" t="str">
        <f>IFERROR(INDEX(sheet6!B:B, MATCH(ROW()-1, sheet6!$K:$K, 0)), "")</f>
        <v/>
      </c>
      <c r="C17" t="str">
        <f>IFERROR(INDEX(sheet6!C:C, MATCH(ROW()-1, sheet6!$K:$K, 0)), "")</f>
        <v/>
      </c>
      <c r="D17" t="str">
        <f>IFERROR(INDEX(sheet6!D:D, MATCH(ROW()-1, sheet6!$K:$K, 0)), "")</f>
        <v/>
      </c>
      <c r="E17" t="str">
        <f>IFERROR(INDEX(sheet6!E:E, MATCH(ROW()-1, sheet6!$K:$K, 0)), "")</f>
        <v/>
      </c>
      <c r="F17" t="str">
        <f>IFERROR(INDEX(sheet6!F:F, MATCH(ROW()-1, sheet6!$K:$K, 0)), "")</f>
        <v/>
      </c>
      <c r="G17" t="str">
        <f>IFERROR(INDEX(sheet6!G:G, MATCH(ROW()-1, sheet6!$K:$K, 0)), "")</f>
        <v/>
      </c>
      <c r="H17" t="str">
        <f>IFERROR(INDEX(sheet6!H:H, MATCH(ROW()-1, sheet6!$K:$K, 0)), "")</f>
        <v/>
      </c>
      <c r="I17" t="str">
        <f>IFERROR(INDEX(sheet6!I:I, MATCH(ROW()-1, sheet6!$K:$K, 0)), "")</f>
        <v/>
      </c>
    </row>
    <row r="18" spans="2:9" x14ac:dyDescent="0.25">
      <c r="B18" t="str">
        <f>IFERROR(INDEX(sheet6!B:B, MATCH(ROW()-1, sheet6!$K:$K, 0)), "")</f>
        <v/>
      </c>
      <c r="C18" t="str">
        <f>IFERROR(INDEX(sheet6!C:C, MATCH(ROW()-1, sheet6!$K:$K, 0)), "")</f>
        <v/>
      </c>
      <c r="D18" t="str">
        <f>IFERROR(INDEX(sheet6!D:D, MATCH(ROW()-1, sheet6!$K:$K, 0)), "")</f>
        <v/>
      </c>
      <c r="E18" t="str">
        <f>IFERROR(INDEX(sheet6!E:E, MATCH(ROW()-1, sheet6!$K:$K, 0)), "")</f>
        <v/>
      </c>
      <c r="F18" t="str">
        <f>IFERROR(INDEX(sheet6!F:F, MATCH(ROW()-1, sheet6!$K:$K, 0)), "")</f>
        <v/>
      </c>
      <c r="G18" t="str">
        <f>IFERROR(INDEX(sheet6!G:G, MATCH(ROW()-1, sheet6!$K:$K, 0)), "")</f>
        <v/>
      </c>
      <c r="H18" t="str">
        <f>IFERROR(INDEX(sheet6!H:H, MATCH(ROW()-1, sheet6!$K:$K, 0)), "")</f>
        <v/>
      </c>
      <c r="I18" t="str">
        <f>IFERROR(INDEX(sheet6!I:I, MATCH(ROW()-1, sheet6!$K:$K, 0)), "")</f>
        <v/>
      </c>
    </row>
    <row r="19" spans="2:9" x14ac:dyDescent="0.25">
      <c r="B19" t="str">
        <f>IFERROR(INDEX(sheet6!B:B, MATCH(ROW()-1, sheet6!$K:$K, 0)), "")</f>
        <v/>
      </c>
      <c r="C19" t="str">
        <f>IFERROR(INDEX(sheet6!C:C, MATCH(ROW()-1, sheet6!$K:$K, 0)), "")</f>
        <v/>
      </c>
      <c r="D19" t="str">
        <f>IFERROR(INDEX(sheet6!D:D, MATCH(ROW()-1, sheet6!$K:$K, 0)), "")</f>
        <v/>
      </c>
      <c r="E19" t="str">
        <f>IFERROR(INDEX(sheet6!E:E, MATCH(ROW()-1, sheet6!$K:$K, 0)), "")</f>
        <v/>
      </c>
      <c r="F19" t="str">
        <f>IFERROR(INDEX(sheet6!F:F, MATCH(ROW()-1, sheet6!$K:$K, 0)), "")</f>
        <v/>
      </c>
      <c r="G19" t="str">
        <f>IFERROR(INDEX(sheet6!G:G, MATCH(ROW()-1, sheet6!$K:$K, 0)), "")</f>
        <v/>
      </c>
      <c r="H19" t="str">
        <f>IFERROR(INDEX(sheet6!H:H, MATCH(ROW()-1, sheet6!$K:$K, 0)), "")</f>
        <v/>
      </c>
      <c r="I19" t="str">
        <f>IFERROR(INDEX(sheet6!I:I, MATCH(ROW()-1, sheet6!$K:$K, 0)), "")</f>
        <v/>
      </c>
    </row>
    <row r="20" spans="2:9" x14ac:dyDescent="0.25">
      <c r="B20" t="str">
        <f>IFERROR(INDEX(sheet6!B:B, MATCH(ROW()-1, sheet6!$K:$K, 0)), "")</f>
        <v/>
      </c>
      <c r="C20" t="str">
        <f>IFERROR(INDEX(sheet6!C:C, MATCH(ROW()-1, sheet6!$K:$K, 0)), "")</f>
        <v/>
      </c>
      <c r="D20" t="str">
        <f>IFERROR(INDEX(sheet6!D:D, MATCH(ROW()-1, sheet6!$K:$K, 0)), "")</f>
        <v/>
      </c>
      <c r="E20" t="str">
        <f>IFERROR(INDEX(sheet6!E:E, MATCH(ROW()-1, sheet6!$K:$K, 0)), "")</f>
        <v/>
      </c>
      <c r="F20" t="str">
        <f>IFERROR(INDEX(sheet6!F:F, MATCH(ROW()-1, sheet6!$K:$K, 0)), "")</f>
        <v/>
      </c>
      <c r="G20" t="str">
        <f>IFERROR(INDEX(sheet6!G:G, MATCH(ROW()-1, sheet6!$K:$K, 0)), "")</f>
        <v/>
      </c>
      <c r="H20" t="str">
        <f>IFERROR(INDEX(sheet6!H:H, MATCH(ROW()-1, sheet6!$K:$K, 0)), "")</f>
        <v/>
      </c>
      <c r="I20" t="str">
        <f>IFERROR(INDEX(sheet6!I:I, MATCH(ROW()-1, sheet6!$K:$K, 0)), "")</f>
        <v/>
      </c>
    </row>
    <row r="21" spans="2:9" x14ac:dyDescent="0.25">
      <c r="B21" t="str">
        <f>IFERROR(INDEX(sheet6!B:B, MATCH(ROW()-1, sheet6!$K:$K, 0)), "")</f>
        <v/>
      </c>
      <c r="C21" t="str">
        <f>IFERROR(INDEX(sheet6!C:C, MATCH(ROW()-1, sheet6!$K:$K, 0)), "")</f>
        <v/>
      </c>
      <c r="D21" t="str">
        <f>IFERROR(INDEX(sheet6!D:D, MATCH(ROW()-1, sheet6!$K:$K, 0)), "")</f>
        <v/>
      </c>
      <c r="E21" t="str">
        <f>IFERROR(INDEX(sheet6!E:E, MATCH(ROW()-1, sheet6!$K:$K, 0)), "")</f>
        <v/>
      </c>
      <c r="F21" t="str">
        <f>IFERROR(INDEX(sheet6!F:F, MATCH(ROW()-1, sheet6!$K:$K, 0)), "")</f>
        <v/>
      </c>
      <c r="G21" t="str">
        <f>IFERROR(INDEX(sheet6!G:G, MATCH(ROW()-1, sheet6!$K:$K, 0)), "")</f>
        <v/>
      </c>
      <c r="H21" t="str">
        <f>IFERROR(INDEX(sheet6!H:H, MATCH(ROW()-1, sheet6!$K:$K, 0)), "")</f>
        <v/>
      </c>
      <c r="I21" t="str">
        <f>IFERROR(INDEX(sheet6!I:I, MATCH(ROW()-1, sheet6!$K:$K, 0)), "")</f>
        <v/>
      </c>
    </row>
    <row r="22" spans="2:9" x14ac:dyDescent="0.25">
      <c r="B22" t="str">
        <f>IFERROR(INDEX(sheet6!B:B, MATCH(ROW()-1, sheet6!$K:$K, 0)), "")</f>
        <v/>
      </c>
      <c r="C22" t="str">
        <f>IFERROR(INDEX(sheet6!C:C, MATCH(ROW()-1, sheet6!$K:$K, 0)), "")</f>
        <v/>
      </c>
      <c r="D22" t="str">
        <f>IFERROR(INDEX(sheet6!D:D, MATCH(ROW()-1, sheet6!$K:$K, 0)), "")</f>
        <v/>
      </c>
      <c r="E22" t="str">
        <f>IFERROR(INDEX(sheet6!E:E, MATCH(ROW()-1, sheet6!$K:$K, 0)), "")</f>
        <v/>
      </c>
      <c r="F22" t="str">
        <f>IFERROR(INDEX(sheet6!F:F, MATCH(ROW()-1, sheet6!$K:$K, 0)), "")</f>
        <v/>
      </c>
      <c r="G22" t="str">
        <f>IFERROR(INDEX(sheet6!G:G, MATCH(ROW()-1, sheet6!$K:$K, 0)), "")</f>
        <v/>
      </c>
      <c r="H22" t="str">
        <f>IFERROR(INDEX(sheet6!H:H, MATCH(ROW()-1, sheet6!$K:$K, 0)), "")</f>
        <v/>
      </c>
      <c r="I22" t="str">
        <f>IFERROR(INDEX(sheet6!I:I, MATCH(ROW()-1, sheet6!$K:$K, 0)), "")</f>
        <v/>
      </c>
    </row>
    <row r="23" spans="2:9" x14ac:dyDescent="0.25">
      <c r="B23" t="str">
        <f>IFERROR(INDEX(sheet6!B:B, MATCH(ROW()-1, sheet6!$K:$K, 0)), "")</f>
        <v/>
      </c>
      <c r="C23" t="str">
        <f>IFERROR(INDEX(sheet6!C:C, MATCH(ROW()-1, sheet6!$K:$K, 0)), "")</f>
        <v/>
      </c>
      <c r="D23" t="str">
        <f>IFERROR(INDEX(sheet6!D:D, MATCH(ROW()-1, sheet6!$K:$K, 0)), "")</f>
        <v/>
      </c>
      <c r="E23" t="str">
        <f>IFERROR(INDEX(sheet6!E:E, MATCH(ROW()-1, sheet6!$K:$K, 0)), "")</f>
        <v/>
      </c>
      <c r="F23" t="str">
        <f>IFERROR(INDEX(sheet6!F:F, MATCH(ROW()-1, sheet6!$K:$K, 0)), "")</f>
        <v/>
      </c>
      <c r="G23" t="str">
        <f>IFERROR(INDEX(sheet6!G:G, MATCH(ROW()-1, sheet6!$K:$K, 0)), "")</f>
        <v/>
      </c>
      <c r="H23" t="str">
        <f>IFERROR(INDEX(sheet6!H:H, MATCH(ROW()-1, sheet6!$K:$K, 0)), "")</f>
        <v/>
      </c>
      <c r="I23" t="str">
        <f>IFERROR(INDEX(sheet6!I:I, MATCH(ROW()-1, sheet6!$K:$K, 0)), "")</f>
        <v/>
      </c>
    </row>
    <row r="24" spans="2:9" x14ac:dyDescent="0.25">
      <c r="B24" t="str">
        <f>IFERROR(INDEX(sheet6!B:B, MATCH(ROW()-1, sheet6!$K:$K, 0)), "")</f>
        <v/>
      </c>
      <c r="C24" t="str">
        <f>IFERROR(INDEX(sheet6!C:C, MATCH(ROW()-1, sheet6!$K:$K, 0)), "")</f>
        <v/>
      </c>
      <c r="D24" t="str">
        <f>IFERROR(INDEX(sheet6!D:D, MATCH(ROW()-1, sheet6!$K:$K, 0)), "")</f>
        <v/>
      </c>
      <c r="E24" t="str">
        <f>IFERROR(INDEX(sheet6!E:E, MATCH(ROW()-1, sheet6!$K:$K, 0)), "")</f>
        <v/>
      </c>
      <c r="F24" t="str">
        <f>IFERROR(INDEX(sheet6!F:F, MATCH(ROW()-1, sheet6!$K:$K, 0)), "")</f>
        <v/>
      </c>
      <c r="G24" t="str">
        <f>IFERROR(INDEX(sheet6!G:G, MATCH(ROW()-1, sheet6!$K:$K, 0)), "")</f>
        <v/>
      </c>
      <c r="H24" t="str">
        <f>IFERROR(INDEX(sheet6!H:H, MATCH(ROW()-1, sheet6!$K:$K, 0)), "")</f>
        <v/>
      </c>
      <c r="I24" t="str">
        <f>IFERROR(INDEX(sheet6!I:I, MATCH(ROW()-1, sheet6!$K:$K, 0)), "")</f>
        <v/>
      </c>
    </row>
    <row r="25" spans="2:9" x14ac:dyDescent="0.25">
      <c r="B25" t="str">
        <f>IFERROR(INDEX(sheet6!B:B, MATCH(ROW()-1, sheet6!$K:$K, 0)), "")</f>
        <v/>
      </c>
      <c r="C25" t="str">
        <f>IFERROR(INDEX(sheet6!C:C, MATCH(ROW()-1, sheet6!$K:$K, 0)), "")</f>
        <v/>
      </c>
      <c r="D25" t="str">
        <f>IFERROR(INDEX(sheet6!D:D, MATCH(ROW()-1, sheet6!$K:$K, 0)), "")</f>
        <v/>
      </c>
      <c r="E25" t="str">
        <f>IFERROR(INDEX(sheet6!E:E, MATCH(ROW()-1, sheet6!$K:$K, 0)), "")</f>
        <v/>
      </c>
      <c r="F25" t="str">
        <f>IFERROR(INDEX(sheet6!F:F, MATCH(ROW()-1, sheet6!$K:$K, 0)), "")</f>
        <v/>
      </c>
      <c r="G25" t="str">
        <f>IFERROR(INDEX(sheet6!G:G, MATCH(ROW()-1, sheet6!$K:$K, 0)), "")</f>
        <v/>
      </c>
      <c r="H25" t="str">
        <f>IFERROR(INDEX(sheet6!H:H, MATCH(ROW()-1, sheet6!$K:$K, 0)), "")</f>
        <v/>
      </c>
      <c r="I25" t="str">
        <f>IFERROR(INDEX(sheet6!I:I, MATCH(ROW()-1, sheet6!$K:$K, 0)), "")</f>
        <v/>
      </c>
    </row>
    <row r="26" spans="2:9" x14ac:dyDescent="0.25">
      <c r="B26" t="str">
        <f>IFERROR(INDEX(sheet6!B:B, MATCH(ROW()-1, sheet6!$K:$K, 0)), "")</f>
        <v/>
      </c>
      <c r="C26" t="str">
        <f>IFERROR(INDEX(sheet6!C:C, MATCH(ROW()-1, sheet6!$K:$K, 0)), "")</f>
        <v/>
      </c>
      <c r="D26" t="str">
        <f>IFERROR(INDEX(sheet6!D:D, MATCH(ROW()-1, sheet6!$K:$K, 0)), "")</f>
        <v/>
      </c>
      <c r="E26" t="str">
        <f>IFERROR(INDEX(sheet6!E:E, MATCH(ROW()-1, sheet6!$K:$K, 0)), "")</f>
        <v/>
      </c>
      <c r="F26" t="str">
        <f>IFERROR(INDEX(sheet6!F:F, MATCH(ROW()-1, sheet6!$K:$K, 0)), "")</f>
        <v/>
      </c>
      <c r="G26" t="str">
        <f>IFERROR(INDEX(sheet6!G:G, MATCH(ROW()-1, sheet6!$K:$K, 0)), "")</f>
        <v/>
      </c>
      <c r="H26" t="str">
        <f>IFERROR(INDEX(sheet6!H:H, MATCH(ROW()-1, sheet6!$K:$K, 0)), "")</f>
        <v/>
      </c>
      <c r="I26" t="str">
        <f>IFERROR(INDEX(sheet6!I:I, MATCH(ROW()-1, sheet6!$K:$K, 0)), "")</f>
        <v/>
      </c>
    </row>
    <row r="27" spans="2:9" x14ac:dyDescent="0.25">
      <c r="B27" t="str">
        <f>IFERROR(INDEX(sheet6!B:B, MATCH(ROW()-1, sheet6!$K:$K, 0)), "")</f>
        <v/>
      </c>
      <c r="C27" t="str">
        <f>IFERROR(INDEX(sheet6!C:C, MATCH(ROW()-1, sheet6!$K:$K, 0)), "")</f>
        <v/>
      </c>
      <c r="D27" t="str">
        <f>IFERROR(INDEX(sheet6!D:D, MATCH(ROW()-1, sheet6!$K:$K, 0)), "")</f>
        <v/>
      </c>
      <c r="E27" t="str">
        <f>IFERROR(INDEX(sheet6!E:E, MATCH(ROW()-1, sheet6!$K:$K, 0)), "")</f>
        <v/>
      </c>
      <c r="F27" t="str">
        <f>IFERROR(INDEX(sheet6!F:F, MATCH(ROW()-1, sheet6!$K:$K, 0)), "")</f>
        <v/>
      </c>
      <c r="G27" t="str">
        <f>IFERROR(INDEX(sheet6!G:G, MATCH(ROW()-1, sheet6!$K:$K, 0)), "")</f>
        <v/>
      </c>
      <c r="H27" t="str">
        <f>IFERROR(INDEX(sheet6!H:H, MATCH(ROW()-1, sheet6!$K:$K, 0)), "")</f>
        <v/>
      </c>
      <c r="I27" t="str">
        <f>IFERROR(INDEX(sheet6!I:I, MATCH(ROW()-1, sheet6!$K:$K, 0)), "")</f>
        <v/>
      </c>
    </row>
    <row r="28" spans="2:9" x14ac:dyDescent="0.25">
      <c r="B28" t="str">
        <f>IFERROR(INDEX(sheet6!B:B, MATCH(ROW()-1, sheet6!$K:$K, 0)), "")</f>
        <v/>
      </c>
      <c r="C28" t="str">
        <f>IFERROR(INDEX(sheet6!C:C, MATCH(ROW()-1, sheet6!$K:$K, 0)), "")</f>
        <v/>
      </c>
      <c r="D28" t="str">
        <f>IFERROR(INDEX(sheet6!D:D, MATCH(ROW()-1, sheet6!$K:$K, 0)), "")</f>
        <v/>
      </c>
      <c r="E28" t="str">
        <f>IFERROR(INDEX(sheet6!E:E, MATCH(ROW()-1, sheet6!$K:$K, 0)), "")</f>
        <v/>
      </c>
      <c r="F28" t="str">
        <f>IFERROR(INDEX(sheet6!F:F, MATCH(ROW()-1, sheet6!$K:$K, 0)), "")</f>
        <v/>
      </c>
      <c r="G28" t="str">
        <f>IFERROR(INDEX(sheet6!G:G, MATCH(ROW()-1, sheet6!$K:$K, 0)), "")</f>
        <v/>
      </c>
      <c r="H28" t="str">
        <f>IFERROR(INDEX(sheet6!H:H, MATCH(ROW()-1, sheet6!$K:$K, 0)), "")</f>
        <v/>
      </c>
      <c r="I28" t="str">
        <f>IFERROR(INDEX(sheet6!I:I, MATCH(ROW()-1, sheet6!$K:$K, 0)), "")</f>
        <v/>
      </c>
    </row>
    <row r="29" spans="2:9" x14ac:dyDescent="0.25">
      <c r="B29" t="str">
        <f>IFERROR(INDEX(sheet6!B:B, MATCH(ROW()-1, sheet6!$K:$K, 0)), "")</f>
        <v/>
      </c>
      <c r="C29" t="str">
        <f>IFERROR(INDEX(sheet6!C:C, MATCH(ROW()-1, sheet6!$K:$K, 0)), "")</f>
        <v/>
      </c>
      <c r="D29" t="str">
        <f>IFERROR(INDEX(sheet6!D:D, MATCH(ROW()-1, sheet6!$K:$K, 0)), "")</f>
        <v/>
      </c>
      <c r="E29" t="str">
        <f>IFERROR(INDEX(sheet6!E:E, MATCH(ROW()-1, sheet6!$K:$K, 0)), "")</f>
        <v/>
      </c>
      <c r="F29" t="str">
        <f>IFERROR(INDEX(sheet6!F:F, MATCH(ROW()-1, sheet6!$K:$K, 0)), "")</f>
        <v/>
      </c>
      <c r="G29" t="str">
        <f>IFERROR(INDEX(sheet6!G:G, MATCH(ROW()-1, sheet6!$K:$K, 0)), "")</f>
        <v/>
      </c>
      <c r="H29" t="str">
        <f>IFERROR(INDEX(sheet6!H:H, MATCH(ROW()-1, sheet6!$K:$K, 0)), "")</f>
        <v/>
      </c>
      <c r="I29" t="str">
        <f>IFERROR(INDEX(sheet6!I:I, MATCH(ROW()-1, sheet6!$K:$K, 0)), "")</f>
        <v/>
      </c>
    </row>
    <row r="30" spans="2:9" x14ac:dyDescent="0.25">
      <c r="B30" t="str">
        <f>IFERROR(INDEX(sheet6!B:B, MATCH(ROW()-1, sheet6!$K:$K, 0)), "")</f>
        <v/>
      </c>
      <c r="C30" t="str">
        <f>IFERROR(INDEX(sheet6!C:C, MATCH(ROW()-1, sheet6!$K:$K, 0)), "")</f>
        <v/>
      </c>
      <c r="D30" t="str">
        <f>IFERROR(INDEX(sheet6!D:D, MATCH(ROW()-1, sheet6!$K:$K, 0)), "")</f>
        <v/>
      </c>
      <c r="E30" t="str">
        <f>IFERROR(INDEX(sheet6!E:E, MATCH(ROW()-1, sheet6!$K:$K, 0)), "")</f>
        <v/>
      </c>
      <c r="F30" t="str">
        <f>IFERROR(INDEX(sheet6!F:F, MATCH(ROW()-1, sheet6!$K:$K, 0)), "")</f>
        <v/>
      </c>
      <c r="G30" t="str">
        <f>IFERROR(INDEX(sheet6!G:G, MATCH(ROW()-1, sheet6!$K:$K, 0)), "")</f>
        <v/>
      </c>
      <c r="H30" t="str">
        <f>IFERROR(INDEX(sheet6!H:H, MATCH(ROW()-1, sheet6!$K:$K, 0)), "")</f>
        <v/>
      </c>
      <c r="I30" t="str">
        <f>IFERROR(INDEX(sheet6!I:I, MATCH(ROW()-1, sheet6!$K:$K, 0)), "")</f>
        <v/>
      </c>
    </row>
    <row r="31" spans="2:9" x14ac:dyDescent="0.25">
      <c r="B31" t="str">
        <f>IFERROR(INDEX(sheet6!B:B, MATCH(ROW()-1, sheet6!$K:$K, 0)), "")</f>
        <v/>
      </c>
      <c r="C31" t="str">
        <f>IFERROR(INDEX(sheet6!C:C, MATCH(ROW()-1, sheet6!$K:$K, 0)), "")</f>
        <v/>
      </c>
      <c r="D31" t="str">
        <f>IFERROR(INDEX(sheet6!D:D, MATCH(ROW()-1, sheet6!$K:$K, 0)), "")</f>
        <v/>
      </c>
      <c r="E31" t="str">
        <f>IFERROR(INDEX(sheet6!E:E, MATCH(ROW()-1, sheet6!$K:$K, 0)), "")</f>
        <v/>
      </c>
      <c r="F31" t="str">
        <f>IFERROR(INDEX(sheet6!F:F, MATCH(ROW()-1, sheet6!$K:$K, 0)), "")</f>
        <v/>
      </c>
      <c r="G31" t="str">
        <f>IFERROR(INDEX(sheet6!G:G, MATCH(ROW()-1, sheet6!$K:$K, 0)), "")</f>
        <v/>
      </c>
      <c r="H31" t="str">
        <f>IFERROR(INDEX(sheet6!H:H, MATCH(ROW()-1, sheet6!$K:$K, 0)), "")</f>
        <v/>
      </c>
      <c r="I31" t="str">
        <f>IFERROR(INDEX(sheet6!I:I, MATCH(ROW()-1, sheet6!$K:$K, 0)), "")</f>
        <v/>
      </c>
    </row>
    <row r="32" spans="2:9" x14ac:dyDescent="0.25">
      <c r="B32" t="str">
        <f>IFERROR(INDEX(sheet6!B:B, MATCH(ROW()-1, sheet6!$K:$K, 0)), "")</f>
        <v/>
      </c>
      <c r="C32" t="str">
        <f>IFERROR(INDEX(sheet6!C:C, MATCH(ROW()-1, sheet6!$K:$K, 0)), "")</f>
        <v/>
      </c>
      <c r="D32" t="str">
        <f>IFERROR(INDEX(sheet6!D:D, MATCH(ROW()-1, sheet6!$K:$K, 0)), "")</f>
        <v/>
      </c>
      <c r="E32" t="str">
        <f>IFERROR(INDEX(sheet6!E:E, MATCH(ROW()-1, sheet6!$K:$K, 0)), "")</f>
        <v/>
      </c>
      <c r="F32" t="str">
        <f>IFERROR(INDEX(sheet6!F:F, MATCH(ROW()-1, sheet6!$K:$K, 0)), "")</f>
        <v/>
      </c>
      <c r="G32" t="str">
        <f>IFERROR(INDEX(sheet6!G:G, MATCH(ROW()-1, sheet6!$K:$K, 0)), "")</f>
        <v/>
      </c>
      <c r="H32" t="str">
        <f>IFERROR(INDEX(sheet6!H:H, MATCH(ROW()-1, sheet6!$K:$K, 0)), "")</f>
        <v/>
      </c>
      <c r="I32" t="str">
        <f>IFERROR(INDEX(sheet6!I:I, MATCH(ROW()-1, sheet6!$K:$K, 0)), "")</f>
        <v/>
      </c>
    </row>
    <row r="33" spans="2:9" x14ac:dyDescent="0.25">
      <c r="B33" t="str">
        <f>IFERROR(INDEX(sheet6!B:B, MATCH(ROW()-1, sheet6!$K:$K, 0)), "")</f>
        <v/>
      </c>
      <c r="C33" t="str">
        <f>IFERROR(INDEX(sheet6!C:C, MATCH(ROW()-1, sheet6!$K:$K, 0)), "")</f>
        <v/>
      </c>
      <c r="D33" t="str">
        <f>IFERROR(INDEX(sheet6!D:D, MATCH(ROW()-1, sheet6!$K:$K, 0)), "")</f>
        <v/>
      </c>
      <c r="E33" t="str">
        <f>IFERROR(INDEX(sheet6!E:E, MATCH(ROW()-1, sheet6!$K:$K, 0)), "")</f>
        <v/>
      </c>
      <c r="F33" t="str">
        <f>IFERROR(INDEX(sheet6!F:F, MATCH(ROW()-1, sheet6!$K:$K, 0)), "")</f>
        <v/>
      </c>
      <c r="G33" t="str">
        <f>IFERROR(INDEX(sheet6!G:G, MATCH(ROW()-1, sheet6!$K:$K, 0)), "")</f>
        <v/>
      </c>
      <c r="H33" t="str">
        <f>IFERROR(INDEX(sheet6!H:H, MATCH(ROW()-1, sheet6!$K:$K, 0)), "")</f>
        <v/>
      </c>
      <c r="I33" t="str">
        <f>IFERROR(INDEX(sheet6!I:I, MATCH(ROW()-1, sheet6!$K:$K, 0)), "")</f>
        <v/>
      </c>
    </row>
    <row r="34" spans="2:9" x14ac:dyDescent="0.25">
      <c r="B34" t="str">
        <f>IFERROR(INDEX(sheet6!B:B, MATCH(ROW()-1, sheet6!$K:$K, 0)), "")</f>
        <v/>
      </c>
      <c r="C34" t="str">
        <f>IFERROR(INDEX(sheet6!C:C, MATCH(ROW()-1, sheet6!$K:$K, 0)), "")</f>
        <v/>
      </c>
      <c r="D34" t="str">
        <f>IFERROR(INDEX(sheet6!D:D, MATCH(ROW()-1, sheet6!$K:$K, 0)), "")</f>
        <v/>
      </c>
      <c r="E34" t="str">
        <f>IFERROR(INDEX(sheet6!E:E, MATCH(ROW()-1, sheet6!$K:$K, 0)), "")</f>
        <v/>
      </c>
      <c r="F34" t="str">
        <f>IFERROR(INDEX(sheet6!F:F, MATCH(ROW()-1, sheet6!$K:$K, 0)), "")</f>
        <v/>
      </c>
      <c r="G34" t="str">
        <f>IFERROR(INDEX(sheet6!G:G, MATCH(ROW()-1, sheet6!$K:$K, 0)), "")</f>
        <v/>
      </c>
      <c r="H34" t="str">
        <f>IFERROR(INDEX(sheet6!H:H, MATCH(ROW()-1, sheet6!$K:$K, 0)), "")</f>
        <v/>
      </c>
      <c r="I34" t="str">
        <f>IFERROR(INDEX(sheet6!I:I, MATCH(ROW()-1, sheet6!$K:$K, 0)), "")</f>
        <v/>
      </c>
    </row>
    <row r="35" spans="2:9" x14ac:dyDescent="0.25">
      <c r="B35" t="str">
        <f>IFERROR(INDEX(sheet6!B:B, MATCH(ROW()-1, sheet6!$K:$K, 0)), "")</f>
        <v/>
      </c>
      <c r="C35" t="str">
        <f>IFERROR(INDEX(sheet6!C:C, MATCH(ROW()-1, sheet6!$K:$K, 0)), "")</f>
        <v/>
      </c>
      <c r="D35" t="str">
        <f>IFERROR(INDEX(sheet6!D:D, MATCH(ROW()-1, sheet6!$K:$K, 0)), "")</f>
        <v/>
      </c>
      <c r="E35" t="str">
        <f>IFERROR(INDEX(sheet6!E:E, MATCH(ROW()-1, sheet6!$K:$K, 0)), "")</f>
        <v/>
      </c>
      <c r="F35" t="str">
        <f>IFERROR(INDEX(sheet6!F:F, MATCH(ROW()-1, sheet6!$K:$K, 0)), "")</f>
        <v/>
      </c>
      <c r="G35" t="str">
        <f>IFERROR(INDEX(sheet6!G:G, MATCH(ROW()-1, sheet6!$K:$K, 0)), "")</f>
        <v/>
      </c>
      <c r="H35" t="str">
        <f>IFERROR(INDEX(sheet6!H:H, MATCH(ROW()-1, sheet6!$K:$K, 0)), "")</f>
        <v/>
      </c>
      <c r="I35" t="str">
        <f>IFERROR(INDEX(sheet6!I:I, MATCH(ROW()-1, sheet6!$K:$K, 0)), "")</f>
        <v/>
      </c>
    </row>
    <row r="36" spans="2:9" x14ac:dyDescent="0.25">
      <c r="B36" t="str">
        <f>IFERROR(INDEX(sheet6!B:B, MATCH(ROW()-1, sheet6!$K:$K, 0)), "")</f>
        <v/>
      </c>
      <c r="C36" t="str">
        <f>IFERROR(INDEX(sheet6!C:C, MATCH(ROW()-1, sheet6!$K:$K, 0)), "")</f>
        <v/>
      </c>
      <c r="D36" t="str">
        <f>IFERROR(INDEX(sheet6!D:D, MATCH(ROW()-1, sheet6!$K:$K, 0)), "")</f>
        <v/>
      </c>
      <c r="E36" t="str">
        <f>IFERROR(INDEX(sheet6!E:E, MATCH(ROW()-1, sheet6!$K:$K, 0)), "")</f>
        <v/>
      </c>
      <c r="F36" t="str">
        <f>IFERROR(INDEX(sheet6!F:F, MATCH(ROW()-1, sheet6!$K:$K, 0)), "")</f>
        <v/>
      </c>
      <c r="G36" t="str">
        <f>IFERROR(INDEX(sheet6!G:G, MATCH(ROW()-1, sheet6!$K:$K, 0)), "")</f>
        <v/>
      </c>
      <c r="H36" t="str">
        <f>IFERROR(INDEX(sheet6!H:H, MATCH(ROW()-1, sheet6!$K:$K, 0)), "")</f>
        <v/>
      </c>
      <c r="I36" t="str">
        <f>IFERROR(INDEX(sheet6!I:I, MATCH(ROW()-1, sheet6!$K:$K, 0)), "")</f>
        <v/>
      </c>
    </row>
    <row r="37" spans="2:9" x14ac:dyDescent="0.25">
      <c r="B37" t="str">
        <f>IFERROR(INDEX(sheet6!B:B, MATCH(ROW()-1, sheet6!$K:$K, 0)), "")</f>
        <v/>
      </c>
      <c r="C37" t="str">
        <f>IFERROR(INDEX(sheet6!C:C, MATCH(ROW()-1, sheet6!$K:$K, 0)), "")</f>
        <v/>
      </c>
      <c r="D37" t="str">
        <f>IFERROR(INDEX(sheet6!D:D, MATCH(ROW()-1, sheet6!$K:$K, 0)), "")</f>
        <v/>
      </c>
      <c r="E37" t="str">
        <f>IFERROR(INDEX(sheet6!E:E, MATCH(ROW()-1, sheet6!$K:$K, 0)), "")</f>
        <v/>
      </c>
      <c r="F37" t="str">
        <f>IFERROR(INDEX(sheet6!F:F, MATCH(ROW()-1, sheet6!$K:$K, 0)), "")</f>
        <v/>
      </c>
      <c r="G37" t="str">
        <f>IFERROR(INDEX(sheet6!G:G, MATCH(ROW()-1, sheet6!$K:$K, 0)), "")</f>
        <v/>
      </c>
      <c r="H37" t="str">
        <f>IFERROR(INDEX(sheet6!H:H, MATCH(ROW()-1, sheet6!$K:$K, 0)), "")</f>
        <v/>
      </c>
      <c r="I37" t="str">
        <f>IFERROR(INDEX(sheet6!I:I, MATCH(ROW()-1, sheet6!$K:$K, 0)), "")</f>
        <v/>
      </c>
    </row>
    <row r="38" spans="2:9" x14ac:dyDescent="0.25">
      <c r="B38" t="str">
        <f>IFERROR(INDEX(sheet6!B:B, MATCH(ROW()-1, sheet6!$K:$K, 0)), "")</f>
        <v/>
      </c>
      <c r="C38" t="str">
        <f>IFERROR(INDEX(sheet6!C:C, MATCH(ROW()-1, sheet6!$K:$K, 0)), "")</f>
        <v/>
      </c>
      <c r="D38" t="str">
        <f>IFERROR(INDEX(sheet6!D:D, MATCH(ROW()-1, sheet6!$K:$K, 0)), "")</f>
        <v/>
      </c>
      <c r="E38" t="str">
        <f>IFERROR(INDEX(sheet6!E:E, MATCH(ROW()-1, sheet6!$K:$K, 0)), "")</f>
        <v/>
      </c>
      <c r="F38" t="str">
        <f>IFERROR(INDEX(sheet6!F:F, MATCH(ROW()-1, sheet6!$K:$K, 0)), "")</f>
        <v/>
      </c>
      <c r="G38" t="str">
        <f>IFERROR(INDEX(sheet6!G:G, MATCH(ROW()-1, sheet6!$K:$K, 0)), "")</f>
        <v/>
      </c>
      <c r="H38" t="str">
        <f>IFERROR(INDEX(sheet6!H:H, MATCH(ROW()-1, sheet6!$K:$K, 0)), "")</f>
        <v/>
      </c>
      <c r="I38" t="str">
        <f>IFERROR(INDEX(sheet6!I:I, MATCH(ROW()-1, sheet6!$K:$K, 0)), "")</f>
        <v/>
      </c>
    </row>
    <row r="39" spans="2:9" x14ac:dyDescent="0.25">
      <c r="B39" t="str">
        <f>IFERROR(INDEX(sheet6!B:B, MATCH(ROW()-1, sheet6!$K:$K, 0)), "")</f>
        <v/>
      </c>
      <c r="C39" t="str">
        <f>IFERROR(INDEX(sheet6!C:C, MATCH(ROW()-1, sheet6!$K:$K, 0)), "")</f>
        <v/>
      </c>
      <c r="D39" t="str">
        <f>IFERROR(INDEX(sheet6!D:D, MATCH(ROW()-1, sheet6!$K:$K, 0)), "")</f>
        <v/>
      </c>
      <c r="E39" t="str">
        <f>IFERROR(INDEX(sheet6!E:E, MATCH(ROW()-1, sheet6!$K:$K, 0)), "")</f>
        <v/>
      </c>
      <c r="F39" t="str">
        <f>IFERROR(INDEX(sheet6!F:F, MATCH(ROW()-1, sheet6!$K:$K, 0)), "")</f>
        <v/>
      </c>
      <c r="G39" t="str">
        <f>IFERROR(INDEX(sheet6!G:G, MATCH(ROW()-1, sheet6!$K:$K, 0)), "")</f>
        <v/>
      </c>
      <c r="H39" t="str">
        <f>IFERROR(INDEX(sheet6!H:H, MATCH(ROW()-1, sheet6!$K:$K, 0)), "")</f>
        <v/>
      </c>
      <c r="I39" t="str">
        <f>IFERROR(INDEX(sheet6!I:I, MATCH(ROW()-1, sheet6!$K:$K, 0)), "")</f>
        <v/>
      </c>
    </row>
    <row r="40" spans="2:9" x14ac:dyDescent="0.25">
      <c r="B40" t="str">
        <f>IFERROR(INDEX(sheet6!B:B, MATCH(ROW()-1, sheet6!$K:$K, 0)), "")</f>
        <v/>
      </c>
      <c r="C40" t="str">
        <f>IFERROR(INDEX(sheet6!C:C, MATCH(ROW()-1, sheet6!$K:$K, 0)), "")</f>
        <v/>
      </c>
      <c r="D40" t="str">
        <f>IFERROR(INDEX(sheet6!D:D, MATCH(ROW()-1, sheet6!$K:$K, 0)), "")</f>
        <v/>
      </c>
      <c r="E40" t="str">
        <f>IFERROR(INDEX(sheet6!E:E, MATCH(ROW()-1, sheet6!$K:$K, 0)), "")</f>
        <v/>
      </c>
      <c r="F40" t="str">
        <f>IFERROR(INDEX(sheet6!F:F, MATCH(ROW()-1, sheet6!$K:$K, 0)), "")</f>
        <v/>
      </c>
      <c r="G40" t="str">
        <f>IFERROR(INDEX(sheet6!G:G, MATCH(ROW()-1, sheet6!$K:$K, 0)), "")</f>
        <v/>
      </c>
      <c r="H40" t="str">
        <f>IFERROR(INDEX(sheet6!H:H, MATCH(ROW()-1, sheet6!$K:$K, 0)), "")</f>
        <v/>
      </c>
      <c r="I40" t="str">
        <f>IFERROR(INDEX(sheet6!I:I, MATCH(ROW()-1, sheet6!$K:$K, 0)), "")</f>
        <v/>
      </c>
    </row>
    <row r="41" spans="2:9" x14ac:dyDescent="0.25">
      <c r="B41" t="str">
        <f>IFERROR(INDEX(sheet6!B:B, MATCH(ROW()-1, sheet6!$K:$K, 0)), "")</f>
        <v/>
      </c>
      <c r="C41" t="str">
        <f>IFERROR(INDEX(sheet6!C:C, MATCH(ROW()-1, sheet6!$K:$K, 0)), "")</f>
        <v/>
      </c>
      <c r="D41" t="str">
        <f>IFERROR(INDEX(sheet6!D:D, MATCH(ROW()-1, sheet6!$K:$K, 0)), "")</f>
        <v/>
      </c>
      <c r="E41" t="str">
        <f>IFERROR(INDEX(sheet6!E:E, MATCH(ROW()-1, sheet6!$K:$K, 0)), "")</f>
        <v/>
      </c>
      <c r="F41" t="str">
        <f>IFERROR(INDEX(sheet6!F:F, MATCH(ROW()-1, sheet6!$K:$K, 0)), "")</f>
        <v/>
      </c>
      <c r="G41" t="str">
        <f>IFERROR(INDEX(sheet6!G:G, MATCH(ROW()-1, sheet6!$K:$K, 0)), "")</f>
        <v/>
      </c>
      <c r="H41" t="str">
        <f>IFERROR(INDEX(sheet6!H:H, MATCH(ROW()-1, sheet6!$K:$K, 0)), "")</f>
        <v/>
      </c>
      <c r="I41" t="str">
        <f>IFERROR(INDEX(sheet6!I:I, MATCH(ROW()-1, sheet6!$K:$K, 0)), "")</f>
        <v/>
      </c>
    </row>
    <row r="42" spans="2:9" x14ac:dyDescent="0.25">
      <c r="B42" t="str">
        <f>IFERROR(INDEX(sheet6!B:B, MATCH(ROW()-1, sheet6!$K:$K, 0)), "")</f>
        <v/>
      </c>
      <c r="C42" t="str">
        <f>IFERROR(INDEX(sheet6!C:C, MATCH(ROW()-1, sheet6!$K:$K, 0)), "")</f>
        <v/>
      </c>
      <c r="D42" t="str">
        <f>IFERROR(INDEX(sheet6!D:D, MATCH(ROW()-1, sheet6!$K:$K, 0)), "")</f>
        <v/>
      </c>
      <c r="E42" t="str">
        <f>IFERROR(INDEX(sheet6!E:E, MATCH(ROW()-1, sheet6!$K:$K, 0)), "")</f>
        <v/>
      </c>
      <c r="F42" t="str">
        <f>IFERROR(INDEX(sheet6!F:F, MATCH(ROW()-1, sheet6!$K:$K, 0)), "")</f>
        <v/>
      </c>
      <c r="G42" t="str">
        <f>IFERROR(INDEX(sheet6!G:G, MATCH(ROW()-1, sheet6!$K:$K, 0)), "")</f>
        <v/>
      </c>
      <c r="H42" t="str">
        <f>IFERROR(INDEX(sheet6!H:H, MATCH(ROW()-1, sheet6!$K:$K, 0)), "")</f>
        <v/>
      </c>
      <c r="I42" t="str">
        <f>IFERROR(INDEX(sheet6!I:I, MATCH(ROW()-1, sheet6!$K:$K, 0)), "")</f>
        <v/>
      </c>
    </row>
    <row r="43" spans="2:9" x14ac:dyDescent="0.25">
      <c r="B43" t="str">
        <f>IFERROR(INDEX(sheet6!B:B, MATCH(ROW()-1, sheet6!$K:$K, 0)), "")</f>
        <v/>
      </c>
      <c r="C43" t="str">
        <f>IFERROR(INDEX(sheet6!C:C, MATCH(ROW()-1, sheet6!$K:$K, 0)), "")</f>
        <v/>
      </c>
      <c r="D43" t="str">
        <f>IFERROR(INDEX(sheet6!D:D, MATCH(ROW()-1, sheet6!$K:$K, 0)), "")</f>
        <v/>
      </c>
      <c r="E43" t="str">
        <f>IFERROR(INDEX(sheet6!E:E, MATCH(ROW()-1, sheet6!$K:$K, 0)), "")</f>
        <v/>
      </c>
      <c r="F43" t="str">
        <f>IFERROR(INDEX(sheet6!F:F, MATCH(ROW()-1, sheet6!$K:$K, 0)), "")</f>
        <v/>
      </c>
      <c r="G43" t="str">
        <f>IFERROR(INDEX(sheet6!G:G, MATCH(ROW()-1, sheet6!$K:$K, 0)), "")</f>
        <v/>
      </c>
      <c r="H43" t="str">
        <f>IFERROR(INDEX(sheet6!H:H, MATCH(ROW()-1, sheet6!$K:$K, 0)), "")</f>
        <v/>
      </c>
      <c r="I43" t="str">
        <f>IFERROR(INDEX(sheet6!I:I, MATCH(ROW()-1, sheet6!$K:$K, 0)), "")</f>
        <v/>
      </c>
    </row>
    <row r="44" spans="2:9" x14ac:dyDescent="0.25">
      <c r="B44" t="str">
        <f>IFERROR(INDEX(sheet6!B:B, MATCH(ROW()-1, sheet6!$K:$K, 0)), "")</f>
        <v/>
      </c>
      <c r="C44" t="str">
        <f>IFERROR(INDEX(sheet6!C:C, MATCH(ROW()-1, sheet6!$K:$K, 0)), "")</f>
        <v/>
      </c>
      <c r="D44" t="str">
        <f>IFERROR(INDEX(sheet6!D:D, MATCH(ROW()-1, sheet6!$K:$K, 0)), "")</f>
        <v/>
      </c>
      <c r="E44" t="str">
        <f>IFERROR(INDEX(sheet6!E:E, MATCH(ROW()-1, sheet6!$K:$K, 0)), "")</f>
        <v/>
      </c>
      <c r="F44" t="str">
        <f>IFERROR(INDEX(sheet6!F:F, MATCH(ROW()-1, sheet6!$K:$K, 0)), "")</f>
        <v/>
      </c>
      <c r="G44" t="str">
        <f>IFERROR(INDEX(sheet6!G:G, MATCH(ROW()-1, sheet6!$K:$K, 0)), "")</f>
        <v/>
      </c>
      <c r="H44" t="str">
        <f>IFERROR(INDEX(sheet6!H:H, MATCH(ROW()-1, sheet6!$K:$K, 0)), "")</f>
        <v/>
      </c>
      <c r="I44" t="str">
        <f>IFERROR(INDEX(sheet6!I:I, MATCH(ROW()-1, sheet6!$K:$K, 0)), "")</f>
        <v/>
      </c>
    </row>
    <row r="45" spans="2:9" x14ac:dyDescent="0.25">
      <c r="B45" t="str">
        <f>IFERROR(INDEX(sheet6!B:B, MATCH(ROW()-1, sheet6!$K:$K, 0)), "")</f>
        <v/>
      </c>
      <c r="C45" t="str">
        <f>IFERROR(INDEX(sheet6!C:C, MATCH(ROW()-1, sheet6!$K:$K, 0)), "")</f>
        <v/>
      </c>
      <c r="D45" t="str">
        <f>IFERROR(INDEX(sheet6!D:D, MATCH(ROW()-1, sheet6!$K:$K, 0)), "")</f>
        <v/>
      </c>
      <c r="E45" t="str">
        <f>IFERROR(INDEX(sheet6!E:E, MATCH(ROW()-1, sheet6!$K:$K, 0)), "")</f>
        <v/>
      </c>
      <c r="F45" t="str">
        <f>IFERROR(INDEX(sheet6!F:F, MATCH(ROW()-1, sheet6!$K:$K, 0)), "")</f>
        <v/>
      </c>
      <c r="G45" t="str">
        <f>IFERROR(INDEX(sheet6!G:G, MATCH(ROW()-1, sheet6!$K:$K, 0)), "")</f>
        <v/>
      </c>
      <c r="H45" t="str">
        <f>IFERROR(INDEX(sheet6!H:H, MATCH(ROW()-1, sheet6!$K:$K, 0)), "")</f>
        <v/>
      </c>
      <c r="I45" t="str">
        <f>IFERROR(INDEX(sheet6!I:I, MATCH(ROW()-1, sheet6!$K:$K, 0)), "")</f>
        <v/>
      </c>
    </row>
    <row r="46" spans="2:9" x14ac:dyDescent="0.25">
      <c r="B46" t="str">
        <f>IFERROR(INDEX(sheet6!B:B, MATCH(ROW()-1, sheet6!$K:$K, 0)), "")</f>
        <v/>
      </c>
      <c r="C46" t="str">
        <f>IFERROR(INDEX(sheet6!C:C, MATCH(ROW()-1, sheet6!$K:$K, 0)), "")</f>
        <v/>
      </c>
      <c r="D46" t="str">
        <f>IFERROR(INDEX(sheet6!D:D, MATCH(ROW()-1, sheet6!$K:$K, 0)), "")</f>
        <v/>
      </c>
      <c r="E46" t="str">
        <f>IFERROR(INDEX(sheet6!E:E, MATCH(ROW()-1, sheet6!$K:$K, 0)), "")</f>
        <v/>
      </c>
      <c r="F46" t="str">
        <f>IFERROR(INDEX(sheet6!F:F, MATCH(ROW()-1, sheet6!$K:$K, 0)), "")</f>
        <v/>
      </c>
      <c r="G46" t="str">
        <f>IFERROR(INDEX(sheet6!G:G, MATCH(ROW()-1, sheet6!$K:$K, 0)), "")</f>
        <v/>
      </c>
      <c r="H46" t="str">
        <f>IFERROR(INDEX(sheet6!H:H, MATCH(ROW()-1, sheet6!$K:$K, 0)), "")</f>
        <v/>
      </c>
      <c r="I46" t="str">
        <f>IFERROR(INDEX(sheet6!I:I, MATCH(ROW()-1, sheet6!$K:$K, 0)), "")</f>
        <v/>
      </c>
    </row>
    <row r="47" spans="2:9" x14ac:dyDescent="0.25">
      <c r="B47" t="str">
        <f>IFERROR(INDEX(sheet6!B:B, MATCH(ROW()-1, sheet6!$K:$K, 0)), "")</f>
        <v/>
      </c>
      <c r="C47" t="str">
        <f>IFERROR(INDEX(sheet6!C:C, MATCH(ROW()-1, sheet6!$K:$K, 0)), "")</f>
        <v/>
      </c>
      <c r="D47" t="str">
        <f>IFERROR(INDEX(sheet6!D:D, MATCH(ROW()-1, sheet6!$K:$K, 0)), "")</f>
        <v/>
      </c>
      <c r="E47" t="str">
        <f>IFERROR(INDEX(sheet6!E:E, MATCH(ROW()-1, sheet6!$K:$K, 0)), "")</f>
        <v/>
      </c>
      <c r="F47" t="str">
        <f>IFERROR(INDEX(sheet6!F:F, MATCH(ROW()-1, sheet6!$K:$K, 0)), "")</f>
        <v/>
      </c>
      <c r="G47" t="str">
        <f>IFERROR(INDEX(sheet6!G:G, MATCH(ROW()-1, sheet6!$K:$K, 0)), "")</f>
        <v/>
      </c>
      <c r="H47" t="str">
        <f>IFERROR(INDEX(sheet6!H:H, MATCH(ROW()-1, sheet6!$K:$K, 0)), "")</f>
        <v/>
      </c>
      <c r="I47" t="str">
        <f>IFERROR(INDEX(sheet6!I:I, MATCH(ROW()-1, sheet6!$K:$K, 0)), "")</f>
        <v/>
      </c>
    </row>
    <row r="48" spans="2:9" x14ac:dyDescent="0.25">
      <c r="B48" t="str">
        <f>IFERROR(INDEX(sheet6!B:B, MATCH(ROW()-1, sheet6!$K:$K, 0)), "")</f>
        <v/>
      </c>
      <c r="C48" t="str">
        <f>IFERROR(INDEX(sheet6!C:C, MATCH(ROW()-1, sheet6!$K:$K, 0)), "")</f>
        <v/>
      </c>
      <c r="D48" t="str">
        <f>IFERROR(INDEX(sheet6!D:D, MATCH(ROW()-1, sheet6!$K:$K, 0)), "")</f>
        <v/>
      </c>
      <c r="E48" t="str">
        <f>IFERROR(INDEX(sheet6!E:E, MATCH(ROW()-1, sheet6!$K:$K, 0)), "")</f>
        <v/>
      </c>
      <c r="F48" t="str">
        <f>IFERROR(INDEX(sheet6!F:F, MATCH(ROW()-1, sheet6!$K:$K, 0)), "")</f>
        <v/>
      </c>
      <c r="G48" t="str">
        <f>IFERROR(INDEX(sheet6!G:G, MATCH(ROW()-1, sheet6!$K:$K, 0)), "")</f>
        <v/>
      </c>
      <c r="H48" t="str">
        <f>IFERROR(INDEX(sheet6!H:H, MATCH(ROW()-1, sheet6!$K:$K, 0)), "")</f>
        <v/>
      </c>
      <c r="I48" t="str">
        <f>IFERROR(INDEX(sheet6!I:I, MATCH(ROW()-1, sheet6!$K:$K, 0)), "")</f>
        <v/>
      </c>
    </row>
    <row r="49" spans="2:9" x14ac:dyDescent="0.25">
      <c r="B49" t="str">
        <f>IFERROR(INDEX(sheet6!B:B, MATCH(ROW()-1, sheet6!$K:$K, 0)), "")</f>
        <v/>
      </c>
      <c r="C49" t="str">
        <f>IFERROR(INDEX(sheet6!C:C, MATCH(ROW()-1, sheet6!$K:$K, 0)), "")</f>
        <v/>
      </c>
      <c r="D49" t="str">
        <f>IFERROR(INDEX(sheet6!D:D, MATCH(ROW()-1, sheet6!$K:$K, 0)), "")</f>
        <v/>
      </c>
      <c r="E49" t="str">
        <f>IFERROR(INDEX(sheet6!E:E, MATCH(ROW()-1, sheet6!$K:$K, 0)), "")</f>
        <v/>
      </c>
      <c r="F49" t="str">
        <f>IFERROR(INDEX(sheet6!F:F, MATCH(ROW()-1, sheet6!$K:$K, 0)), "")</f>
        <v/>
      </c>
      <c r="G49" t="str">
        <f>IFERROR(INDEX(sheet6!G:G, MATCH(ROW()-1, sheet6!$K:$K, 0)), "")</f>
        <v/>
      </c>
      <c r="H49" t="str">
        <f>IFERROR(INDEX(sheet6!H:H, MATCH(ROW()-1, sheet6!$K:$K, 0)), "")</f>
        <v/>
      </c>
      <c r="I49" t="str">
        <f>IFERROR(INDEX(sheet6!I:I, MATCH(ROW()-1, sheet6!$K:$K, 0)), "")</f>
        <v/>
      </c>
    </row>
    <row r="50" spans="2:9" x14ac:dyDescent="0.25">
      <c r="B50" t="str">
        <f>IFERROR(INDEX(sheet6!B:B, MATCH(ROW()-1, sheet6!$K:$K, 0)), "")</f>
        <v/>
      </c>
      <c r="C50" t="str">
        <f>IFERROR(INDEX(sheet6!C:C, MATCH(ROW()-1, sheet6!$K:$K, 0)), "")</f>
        <v/>
      </c>
      <c r="D50" t="str">
        <f>IFERROR(INDEX(sheet6!D:D, MATCH(ROW()-1, sheet6!$K:$K, 0)), "")</f>
        <v/>
      </c>
      <c r="E50" t="str">
        <f>IFERROR(INDEX(sheet6!E:E, MATCH(ROW()-1, sheet6!$K:$K, 0)), "")</f>
        <v/>
      </c>
      <c r="F50" t="str">
        <f>IFERROR(INDEX(sheet6!F:F, MATCH(ROW()-1, sheet6!$K:$K, 0)), "")</f>
        <v/>
      </c>
      <c r="G50" t="str">
        <f>IFERROR(INDEX(sheet6!G:G, MATCH(ROW()-1, sheet6!$K:$K, 0)), "")</f>
        <v/>
      </c>
      <c r="H50" t="str">
        <f>IFERROR(INDEX(sheet6!H:H, MATCH(ROW()-1, sheet6!$K:$K, 0)), "")</f>
        <v/>
      </c>
      <c r="I50" t="str">
        <f>IFERROR(INDEX(sheet6!I:I, MATCH(ROW()-1, sheet6!$K:$K, 0)), "")</f>
        <v/>
      </c>
    </row>
    <row r="51" spans="2:9" x14ac:dyDescent="0.25">
      <c r="B51" t="str">
        <f>IFERROR(INDEX(sheet6!B:B, MATCH(ROW()-1, sheet6!$K:$K, 0)), "")</f>
        <v/>
      </c>
      <c r="C51" t="str">
        <f>IFERROR(INDEX(sheet6!C:C, MATCH(ROW()-1, sheet6!$K:$K, 0)), "")</f>
        <v/>
      </c>
      <c r="D51" t="str">
        <f>IFERROR(INDEX(sheet6!D:D, MATCH(ROW()-1, sheet6!$K:$K, 0)), "")</f>
        <v/>
      </c>
      <c r="E51" t="str">
        <f>IFERROR(INDEX(sheet6!E:E, MATCH(ROW()-1, sheet6!$K:$K, 0)), "")</f>
        <v/>
      </c>
      <c r="F51" t="str">
        <f>IFERROR(INDEX(sheet6!F:F, MATCH(ROW()-1, sheet6!$K:$K, 0)), "")</f>
        <v/>
      </c>
      <c r="G51" t="str">
        <f>IFERROR(INDEX(sheet6!G:G, MATCH(ROW()-1, sheet6!$K:$K, 0)), "")</f>
        <v/>
      </c>
      <c r="H51" t="str">
        <f>IFERROR(INDEX(sheet6!H:H, MATCH(ROW()-1, sheet6!$K:$K, 0)), "")</f>
        <v/>
      </c>
      <c r="I51" t="str">
        <f>IFERROR(INDEX(sheet6!I:I, MATCH(ROW()-1, sheet6!$K:$K, 0)), "")</f>
        <v/>
      </c>
    </row>
    <row r="52" spans="2:9" x14ac:dyDescent="0.25">
      <c r="B52" t="str">
        <f>IFERROR(INDEX(sheet6!B:B, MATCH(ROW()-1, sheet6!$K:$K, 0)), "")</f>
        <v/>
      </c>
      <c r="C52" t="str">
        <f>IFERROR(INDEX(sheet6!C:C, MATCH(ROW()-1, sheet6!$K:$K, 0)), "")</f>
        <v/>
      </c>
      <c r="D52" t="str">
        <f>IFERROR(INDEX(sheet6!D:D, MATCH(ROW()-1, sheet6!$K:$K, 0)), "")</f>
        <v/>
      </c>
      <c r="E52" t="str">
        <f>IFERROR(INDEX(sheet6!E:E, MATCH(ROW()-1, sheet6!$K:$K, 0)), "")</f>
        <v/>
      </c>
      <c r="F52" t="str">
        <f>IFERROR(INDEX(sheet6!F:F, MATCH(ROW()-1, sheet6!$K:$K, 0)), "")</f>
        <v/>
      </c>
      <c r="G52" t="str">
        <f>IFERROR(INDEX(sheet6!G:G, MATCH(ROW()-1, sheet6!$K:$K, 0)), "")</f>
        <v/>
      </c>
      <c r="H52" t="str">
        <f>IFERROR(INDEX(sheet6!H:H, MATCH(ROW()-1, sheet6!$K:$K, 0)), "")</f>
        <v/>
      </c>
      <c r="I52" t="str">
        <f>IFERROR(INDEX(sheet6!I:I, MATCH(ROW()-1, sheet6!$K:$K, 0)), "")</f>
        <v/>
      </c>
    </row>
    <row r="53" spans="2:9" x14ac:dyDescent="0.25">
      <c r="B53" t="str">
        <f>IFERROR(INDEX(sheet6!B:B, MATCH(ROW()-1, sheet6!$K:$K, 0)), "")</f>
        <v/>
      </c>
      <c r="C53" t="str">
        <f>IFERROR(INDEX(sheet6!C:C, MATCH(ROW()-1, sheet6!$K:$K, 0)), "")</f>
        <v/>
      </c>
      <c r="D53" t="str">
        <f>IFERROR(INDEX(sheet6!D:D, MATCH(ROW()-1, sheet6!$K:$K, 0)), "")</f>
        <v/>
      </c>
      <c r="E53" t="str">
        <f>IFERROR(INDEX(sheet6!E:E, MATCH(ROW()-1, sheet6!$K:$K, 0)), "")</f>
        <v/>
      </c>
      <c r="F53" t="str">
        <f>IFERROR(INDEX(sheet6!F:F, MATCH(ROW()-1, sheet6!$K:$K, 0)), "")</f>
        <v/>
      </c>
      <c r="G53" t="str">
        <f>IFERROR(INDEX(sheet6!G:G, MATCH(ROW()-1, sheet6!$K:$K, 0)), "")</f>
        <v/>
      </c>
      <c r="H53" t="str">
        <f>IFERROR(INDEX(sheet6!H:H, MATCH(ROW()-1, sheet6!$K:$K, 0)), "")</f>
        <v/>
      </c>
      <c r="I53" t="str">
        <f>IFERROR(INDEX(sheet6!I:I, MATCH(ROW()-1, sheet6!$K:$K, 0)), "")</f>
        <v/>
      </c>
    </row>
    <row r="54" spans="2:9" x14ac:dyDescent="0.25">
      <c r="B54" t="str">
        <f>IFERROR(INDEX(sheet6!B:B, MATCH(ROW()-1, sheet6!$K:$K, 0)), "")</f>
        <v/>
      </c>
      <c r="C54" t="str">
        <f>IFERROR(INDEX(sheet6!C:C, MATCH(ROW()-1, sheet6!$K:$K, 0)), "")</f>
        <v/>
      </c>
      <c r="D54" t="str">
        <f>IFERROR(INDEX(sheet6!D:D, MATCH(ROW()-1, sheet6!$K:$K, 0)), "")</f>
        <v/>
      </c>
      <c r="E54" t="str">
        <f>IFERROR(INDEX(sheet6!E:E, MATCH(ROW()-1, sheet6!$K:$K, 0)), "")</f>
        <v/>
      </c>
      <c r="F54" t="str">
        <f>IFERROR(INDEX(sheet6!F:F, MATCH(ROW()-1, sheet6!$K:$K, 0)), "")</f>
        <v/>
      </c>
      <c r="G54" t="str">
        <f>IFERROR(INDEX(sheet6!G:G, MATCH(ROW()-1, sheet6!$K:$K, 0)), "")</f>
        <v/>
      </c>
      <c r="H54" t="str">
        <f>IFERROR(INDEX(sheet6!H:H, MATCH(ROW()-1, sheet6!$K:$K, 0)), "")</f>
        <v/>
      </c>
      <c r="I54" t="str">
        <f>IFERROR(INDEX(sheet6!I:I, MATCH(ROW()-1, sheet6!$K:$K, 0)), "")</f>
        <v/>
      </c>
    </row>
    <row r="55" spans="2:9" x14ac:dyDescent="0.25">
      <c r="B55" t="str">
        <f>IFERROR(INDEX(sheet6!B:B, MATCH(ROW()-1, sheet6!$K:$K, 0)), "")</f>
        <v/>
      </c>
      <c r="C55" t="str">
        <f>IFERROR(INDEX(sheet6!C:C, MATCH(ROW()-1, sheet6!$K:$K, 0)), "")</f>
        <v/>
      </c>
      <c r="D55" t="str">
        <f>IFERROR(INDEX(sheet6!D:D, MATCH(ROW()-1, sheet6!$K:$K, 0)), "")</f>
        <v/>
      </c>
      <c r="E55" t="str">
        <f>IFERROR(INDEX(sheet6!E:E, MATCH(ROW()-1, sheet6!$K:$K, 0)), "")</f>
        <v/>
      </c>
      <c r="F55" t="str">
        <f>IFERROR(INDEX(sheet6!F:F, MATCH(ROW()-1, sheet6!$K:$K, 0)), "")</f>
        <v/>
      </c>
      <c r="G55" t="str">
        <f>IFERROR(INDEX(sheet6!G:G, MATCH(ROW()-1, sheet6!$K:$K, 0)), "")</f>
        <v/>
      </c>
      <c r="H55" t="str">
        <f>IFERROR(INDEX(sheet6!H:H, MATCH(ROW()-1, sheet6!$K:$K, 0)), "")</f>
        <v/>
      </c>
      <c r="I55" t="str">
        <f>IFERROR(INDEX(sheet6!I:I, MATCH(ROW()-1, sheet6!$K:$K, 0)), "")</f>
        <v/>
      </c>
    </row>
    <row r="56" spans="2:9" x14ac:dyDescent="0.25">
      <c r="B56" t="str">
        <f>IFERROR(INDEX(sheet6!B:B, MATCH(ROW()-1, sheet6!$K:$K, 0)), "")</f>
        <v/>
      </c>
      <c r="C56" t="str">
        <f>IFERROR(INDEX(sheet6!C:C, MATCH(ROW()-1, sheet6!$K:$K, 0)), "")</f>
        <v/>
      </c>
      <c r="D56" t="str">
        <f>IFERROR(INDEX(sheet6!D:D, MATCH(ROW()-1, sheet6!$K:$K, 0)), "")</f>
        <v/>
      </c>
      <c r="E56" t="str">
        <f>IFERROR(INDEX(sheet6!E:E, MATCH(ROW()-1, sheet6!$K:$K, 0)), "")</f>
        <v/>
      </c>
      <c r="F56" t="str">
        <f>IFERROR(INDEX(sheet6!F:F, MATCH(ROW()-1, sheet6!$K:$K, 0)), "")</f>
        <v/>
      </c>
      <c r="G56" t="str">
        <f>IFERROR(INDEX(sheet6!G:G, MATCH(ROW()-1, sheet6!$K:$K, 0)), "")</f>
        <v/>
      </c>
      <c r="H56" t="str">
        <f>IFERROR(INDEX(sheet6!H:H, MATCH(ROW()-1, sheet6!$K:$K, 0)), "")</f>
        <v/>
      </c>
      <c r="I56" t="str">
        <f>IFERROR(INDEX(sheet6!I:I, MATCH(ROW()-1, sheet6!$K:$K, 0)), "")</f>
        <v/>
      </c>
    </row>
    <row r="57" spans="2:9" x14ac:dyDescent="0.25">
      <c r="B57" t="str">
        <f>IFERROR(INDEX(sheet6!B:B, MATCH(ROW()-1, sheet6!$K:$K, 0)), "")</f>
        <v/>
      </c>
      <c r="C57" t="str">
        <f>IFERROR(INDEX(sheet6!C:C, MATCH(ROW()-1, sheet6!$K:$K, 0)), "")</f>
        <v/>
      </c>
      <c r="D57" t="str">
        <f>IFERROR(INDEX(sheet6!D:D, MATCH(ROW()-1, sheet6!$K:$K, 0)), "")</f>
        <v/>
      </c>
      <c r="E57" t="str">
        <f>IFERROR(INDEX(sheet6!E:E, MATCH(ROW()-1, sheet6!$K:$K, 0)), "")</f>
        <v/>
      </c>
      <c r="F57" t="str">
        <f>IFERROR(INDEX(sheet6!F:F, MATCH(ROW()-1, sheet6!$K:$K, 0)), "")</f>
        <v/>
      </c>
      <c r="G57" t="str">
        <f>IFERROR(INDEX(sheet6!G:G, MATCH(ROW()-1, sheet6!$K:$K, 0)), "")</f>
        <v/>
      </c>
      <c r="H57" t="str">
        <f>IFERROR(INDEX(sheet6!H:H, MATCH(ROW()-1, sheet6!$K:$K, 0)), "")</f>
        <v/>
      </c>
      <c r="I57" t="str">
        <f>IFERROR(INDEX(sheet6!I:I, MATCH(ROW()-1, sheet6!$K:$K, 0)), "")</f>
        <v/>
      </c>
    </row>
    <row r="58" spans="2:9" x14ac:dyDescent="0.25">
      <c r="B58" t="str">
        <f>IFERROR(INDEX(sheet6!B:B, MATCH(ROW()-1, sheet6!$K:$K, 0)), "")</f>
        <v/>
      </c>
      <c r="C58" t="str">
        <f>IFERROR(INDEX(sheet6!C:C, MATCH(ROW()-1, sheet6!$K:$K, 0)), "")</f>
        <v/>
      </c>
      <c r="D58" t="str">
        <f>IFERROR(INDEX(sheet6!D:D, MATCH(ROW()-1, sheet6!$K:$K, 0)), "")</f>
        <v/>
      </c>
      <c r="E58" t="str">
        <f>IFERROR(INDEX(sheet6!E:E, MATCH(ROW()-1, sheet6!$K:$K, 0)), "")</f>
        <v/>
      </c>
      <c r="F58" t="str">
        <f>IFERROR(INDEX(sheet6!F:F, MATCH(ROW()-1, sheet6!$K:$K, 0)), "")</f>
        <v/>
      </c>
      <c r="G58" t="str">
        <f>IFERROR(INDEX(sheet6!G:G, MATCH(ROW()-1, sheet6!$K:$K, 0)), "")</f>
        <v/>
      </c>
      <c r="H58" t="str">
        <f>IFERROR(INDEX(sheet6!H:H, MATCH(ROW()-1, sheet6!$K:$K, 0)), "")</f>
        <v/>
      </c>
      <c r="I58" t="str">
        <f>IFERROR(INDEX(sheet6!I:I, MATCH(ROW()-1, sheet6!$K:$K, 0)), "")</f>
        <v/>
      </c>
    </row>
    <row r="59" spans="2:9" x14ac:dyDescent="0.25">
      <c r="B59" t="str">
        <f>IFERROR(INDEX(sheet6!B:B, MATCH(ROW()-1, sheet6!$K:$K, 0)), "")</f>
        <v/>
      </c>
      <c r="C59" t="str">
        <f>IFERROR(INDEX(sheet6!C:C, MATCH(ROW()-1, sheet6!$K:$K, 0)), "")</f>
        <v/>
      </c>
      <c r="D59" t="str">
        <f>IFERROR(INDEX(sheet6!D:D, MATCH(ROW()-1, sheet6!$K:$K, 0)), "")</f>
        <v/>
      </c>
      <c r="E59" t="str">
        <f>IFERROR(INDEX(sheet6!E:E, MATCH(ROW()-1, sheet6!$K:$K, 0)), "")</f>
        <v/>
      </c>
      <c r="F59" t="str">
        <f>IFERROR(INDEX(sheet6!F:F, MATCH(ROW()-1, sheet6!$K:$K, 0)), "")</f>
        <v/>
      </c>
      <c r="G59" t="str">
        <f>IFERROR(INDEX(sheet6!G:G, MATCH(ROW()-1, sheet6!$K:$K, 0)), "")</f>
        <v/>
      </c>
      <c r="H59" t="str">
        <f>IFERROR(INDEX(sheet6!H:H, MATCH(ROW()-1, sheet6!$K:$K, 0)), "")</f>
        <v/>
      </c>
      <c r="I59" t="str">
        <f>IFERROR(INDEX(sheet6!I:I, MATCH(ROW()-1, sheet6!$K:$K, 0)), "")</f>
        <v/>
      </c>
    </row>
    <row r="60" spans="2:9" x14ac:dyDescent="0.25">
      <c r="B60" t="str">
        <f>IFERROR(INDEX(sheet6!B:B, MATCH(ROW()-1, sheet6!$K:$K, 0)), "")</f>
        <v/>
      </c>
      <c r="C60" t="str">
        <f>IFERROR(INDEX(sheet6!C:C, MATCH(ROW()-1, sheet6!$K:$K, 0)), "")</f>
        <v/>
      </c>
      <c r="D60" t="str">
        <f>IFERROR(INDEX(sheet6!D:D, MATCH(ROW()-1, sheet6!$K:$K, 0)), "")</f>
        <v/>
      </c>
      <c r="E60" t="str">
        <f>IFERROR(INDEX(sheet6!E:E, MATCH(ROW()-1, sheet6!$K:$K, 0)), "")</f>
        <v/>
      </c>
      <c r="F60" t="str">
        <f>IFERROR(INDEX(sheet6!F:F, MATCH(ROW()-1, sheet6!$K:$K, 0)), "")</f>
        <v/>
      </c>
      <c r="G60" t="str">
        <f>IFERROR(INDEX(sheet6!G:G, MATCH(ROW()-1, sheet6!$K:$K, 0)), "")</f>
        <v/>
      </c>
      <c r="H60" t="str">
        <f>IFERROR(INDEX(sheet6!H:H, MATCH(ROW()-1, sheet6!$K:$K, 0)), "")</f>
        <v/>
      </c>
      <c r="I60" t="str">
        <f>IFERROR(INDEX(sheet6!I:I, MATCH(ROW()-1, sheet6!$K:$K, 0)), "")</f>
        <v/>
      </c>
    </row>
    <row r="61" spans="2:9" x14ac:dyDescent="0.25">
      <c r="B61" t="str">
        <f>IFERROR(INDEX(sheet6!B:B, MATCH(ROW()-1, sheet6!$K:$K, 0)), "")</f>
        <v/>
      </c>
      <c r="C61" t="str">
        <f>IFERROR(INDEX(sheet6!C:C, MATCH(ROW()-1, sheet6!$K:$K, 0)), "")</f>
        <v/>
      </c>
      <c r="D61" t="str">
        <f>IFERROR(INDEX(sheet6!D:D, MATCH(ROW()-1, sheet6!$K:$K, 0)), "")</f>
        <v/>
      </c>
      <c r="E61" t="str">
        <f>IFERROR(INDEX(sheet6!E:E, MATCH(ROW()-1, sheet6!$K:$K, 0)), "")</f>
        <v/>
      </c>
      <c r="F61" t="str">
        <f>IFERROR(INDEX(sheet6!F:F, MATCH(ROW()-1, sheet6!$K:$K, 0)), "")</f>
        <v/>
      </c>
      <c r="G61" t="str">
        <f>IFERROR(INDEX(sheet6!G:G, MATCH(ROW()-1, sheet6!$K:$K, 0)), "")</f>
        <v/>
      </c>
      <c r="H61" t="str">
        <f>IFERROR(INDEX(sheet6!H:H, MATCH(ROW()-1, sheet6!$K:$K, 0)), "")</f>
        <v/>
      </c>
      <c r="I61" t="str">
        <f>IFERROR(INDEX(sheet6!I:I, MATCH(ROW()-1, sheet6!$K:$K, 0)), "")</f>
        <v/>
      </c>
    </row>
    <row r="62" spans="2:9" x14ac:dyDescent="0.25">
      <c r="B62" t="str">
        <f>IFERROR(INDEX(sheet6!B:B, MATCH(ROW()-1, sheet6!$K:$K, 0)), "")</f>
        <v/>
      </c>
      <c r="C62" t="str">
        <f>IFERROR(INDEX(sheet6!C:C, MATCH(ROW()-1, sheet6!$K:$K, 0)), "")</f>
        <v/>
      </c>
      <c r="D62" t="str">
        <f>IFERROR(INDEX(sheet6!D:D, MATCH(ROW()-1, sheet6!$K:$K, 0)), "")</f>
        <v/>
      </c>
      <c r="E62" t="str">
        <f>IFERROR(INDEX(sheet6!E:E, MATCH(ROW()-1, sheet6!$K:$K, 0)), "")</f>
        <v/>
      </c>
      <c r="F62" t="str">
        <f>IFERROR(INDEX(sheet6!F:F, MATCH(ROW()-1, sheet6!$K:$K, 0)), "")</f>
        <v/>
      </c>
      <c r="G62" t="str">
        <f>IFERROR(INDEX(sheet6!G:G, MATCH(ROW()-1, sheet6!$K:$K, 0)), "")</f>
        <v/>
      </c>
      <c r="H62" t="str">
        <f>IFERROR(INDEX(sheet6!H:H, MATCH(ROW()-1, sheet6!$K:$K, 0)), "")</f>
        <v/>
      </c>
      <c r="I62" t="str">
        <f>IFERROR(INDEX(sheet6!I:I, MATCH(ROW()-1, sheet6!$K:$K, 0)), "")</f>
        <v/>
      </c>
    </row>
    <row r="63" spans="2:9" x14ac:dyDescent="0.25">
      <c r="B63" t="str">
        <f>IFERROR(INDEX(sheet6!B:B, MATCH(ROW()-1, sheet6!$K:$K, 0)), "")</f>
        <v/>
      </c>
      <c r="C63" t="str">
        <f>IFERROR(INDEX(sheet6!C:C, MATCH(ROW()-1, sheet6!$K:$K, 0)), "")</f>
        <v/>
      </c>
      <c r="D63" t="str">
        <f>IFERROR(INDEX(sheet6!D:D, MATCH(ROW()-1, sheet6!$K:$K, 0)), "")</f>
        <v/>
      </c>
      <c r="E63" t="str">
        <f>IFERROR(INDEX(sheet6!E:E, MATCH(ROW()-1, sheet6!$K:$K, 0)), "")</f>
        <v/>
      </c>
      <c r="F63" t="str">
        <f>IFERROR(INDEX(sheet6!F:F, MATCH(ROW()-1, sheet6!$K:$K, 0)), "")</f>
        <v/>
      </c>
      <c r="G63" t="str">
        <f>IFERROR(INDEX(sheet6!G:G, MATCH(ROW()-1, sheet6!$K:$K, 0)), "")</f>
        <v/>
      </c>
      <c r="H63" t="str">
        <f>IFERROR(INDEX(sheet6!H:H, MATCH(ROW()-1, sheet6!$K:$K, 0)), "")</f>
        <v/>
      </c>
      <c r="I63" t="str">
        <f>IFERROR(INDEX(sheet6!I:I, MATCH(ROW()-1, sheet6!$K:$K, 0)), "")</f>
        <v/>
      </c>
    </row>
    <row r="64" spans="2:9" x14ac:dyDescent="0.25">
      <c r="B64" t="str">
        <f>IFERROR(INDEX(sheet6!B:B, MATCH(ROW()-1, sheet6!$K:$K, 0)), "")</f>
        <v/>
      </c>
      <c r="C64" t="str">
        <f>IFERROR(INDEX(sheet6!C:C, MATCH(ROW()-1, sheet6!$K:$K, 0)), "")</f>
        <v/>
      </c>
      <c r="D64" t="str">
        <f>IFERROR(INDEX(sheet6!D:D, MATCH(ROW()-1, sheet6!$K:$K, 0)), "")</f>
        <v/>
      </c>
      <c r="E64" t="str">
        <f>IFERROR(INDEX(sheet6!E:E, MATCH(ROW()-1, sheet6!$K:$K, 0)), "")</f>
        <v/>
      </c>
      <c r="F64" t="str">
        <f>IFERROR(INDEX(sheet6!F:F, MATCH(ROW()-1, sheet6!$K:$K, 0)), "")</f>
        <v/>
      </c>
      <c r="G64" t="str">
        <f>IFERROR(INDEX(sheet6!G:G, MATCH(ROW()-1, sheet6!$K:$K, 0)), "")</f>
        <v/>
      </c>
      <c r="H64" t="str">
        <f>IFERROR(INDEX(sheet6!H:H, MATCH(ROW()-1, sheet6!$K:$K, 0)), "")</f>
        <v/>
      </c>
      <c r="I64" t="str">
        <f>IFERROR(INDEX(sheet6!I:I, MATCH(ROW()-1, sheet6!$K:$K, 0)), "")</f>
        <v/>
      </c>
    </row>
    <row r="65" spans="2:9" x14ac:dyDescent="0.25">
      <c r="B65" t="str">
        <f>IFERROR(INDEX(sheet6!B:B, MATCH(ROW()-1, sheet6!$K:$K, 0)), "")</f>
        <v/>
      </c>
      <c r="C65" t="str">
        <f>IFERROR(INDEX(sheet6!C:C, MATCH(ROW()-1, sheet6!$K:$K, 0)), "")</f>
        <v/>
      </c>
      <c r="D65" t="str">
        <f>IFERROR(INDEX(sheet6!D:D, MATCH(ROW()-1, sheet6!$K:$K, 0)), "")</f>
        <v/>
      </c>
      <c r="E65" t="str">
        <f>IFERROR(INDEX(sheet6!E:E, MATCH(ROW()-1, sheet6!$K:$K, 0)), "")</f>
        <v/>
      </c>
      <c r="F65" t="str">
        <f>IFERROR(INDEX(sheet6!F:F, MATCH(ROW()-1, sheet6!$K:$K, 0)), "")</f>
        <v/>
      </c>
      <c r="G65" t="str">
        <f>IFERROR(INDEX(sheet6!G:G, MATCH(ROW()-1, sheet6!$K:$K, 0)), "")</f>
        <v/>
      </c>
      <c r="H65" t="str">
        <f>IFERROR(INDEX(sheet6!H:H, MATCH(ROW()-1, sheet6!$K:$K, 0)), "")</f>
        <v/>
      </c>
      <c r="I65" t="str">
        <f>IFERROR(INDEX(sheet6!I:I, MATCH(ROW()-1, sheet6!$K:$K, 0)), "")</f>
        <v/>
      </c>
    </row>
    <row r="66" spans="2:9" x14ac:dyDescent="0.25">
      <c r="B66" t="str">
        <f>IFERROR(INDEX(sheet6!B:B, MATCH(ROW()-1, sheet6!$K:$K, 0)), "")</f>
        <v/>
      </c>
      <c r="C66" t="str">
        <f>IFERROR(INDEX(sheet6!C:C, MATCH(ROW()-1, sheet6!$K:$K, 0)), "")</f>
        <v/>
      </c>
      <c r="D66" t="str">
        <f>IFERROR(INDEX(sheet6!D:D, MATCH(ROW()-1, sheet6!$K:$K, 0)), "")</f>
        <v/>
      </c>
      <c r="E66" t="str">
        <f>IFERROR(INDEX(sheet6!E:E, MATCH(ROW()-1, sheet6!$K:$K, 0)), "")</f>
        <v/>
      </c>
      <c r="F66" t="str">
        <f>IFERROR(INDEX(sheet6!F:F, MATCH(ROW()-1, sheet6!$K:$K, 0)), "")</f>
        <v/>
      </c>
      <c r="G66" t="str">
        <f>IFERROR(INDEX(sheet6!G:G, MATCH(ROW()-1, sheet6!$K:$K, 0)), "")</f>
        <v/>
      </c>
      <c r="H66" t="str">
        <f>IFERROR(INDEX(sheet6!H:H, MATCH(ROW()-1, sheet6!$K:$K, 0)), "")</f>
        <v/>
      </c>
      <c r="I66" t="str">
        <f>IFERROR(INDEX(sheet6!I:I, MATCH(ROW()-1, sheet6!$K:$K, 0)), "")</f>
        <v/>
      </c>
    </row>
    <row r="67" spans="2:9" x14ac:dyDescent="0.25">
      <c r="B67" t="str">
        <f>IFERROR(INDEX(sheet6!B:B, MATCH(ROW()-1, sheet6!$K:$K, 0)), "")</f>
        <v/>
      </c>
      <c r="C67" t="str">
        <f>IFERROR(INDEX(sheet6!C:C, MATCH(ROW()-1, sheet6!$K:$K, 0)), "")</f>
        <v/>
      </c>
      <c r="D67" t="str">
        <f>IFERROR(INDEX(sheet6!D:D, MATCH(ROW()-1, sheet6!$K:$K, 0)), "")</f>
        <v/>
      </c>
      <c r="E67" t="str">
        <f>IFERROR(INDEX(sheet6!E:E, MATCH(ROW()-1, sheet6!$K:$K, 0)), "")</f>
        <v/>
      </c>
      <c r="F67" t="str">
        <f>IFERROR(INDEX(sheet6!F:F, MATCH(ROW()-1, sheet6!$K:$K, 0)), "")</f>
        <v/>
      </c>
      <c r="G67" t="str">
        <f>IFERROR(INDEX(sheet6!G:G, MATCH(ROW()-1, sheet6!$K:$K, 0)), "")</f>
        <v/>
      </c>
      <c r="H67" t="str">
        <f>IFERROR(INDEX(sheet6!H:H, MATCH(ROW()-1, sheet6!$K:$K, 0)), "")</f>
        <v/>
      </c>
      <c r="I67" t="str">
        <f>IFERROR(INDEX(sheet6!I:I, MATCH(ROW()-1, sheet6!$K:$K, 0)), "")</f>
        <v/>
      </c>
    </row>
    <row r="68" spans="2:9" x14ac:dyDescent="0.25">
      <c r="B68" t="str">
        <f>IFERROR(INDEX(sheet6!B:B, MATCH(ROW()-1, sheet6!$K:$K, 0)), "")</f>
        <v/>
      </c>
      <c r="C68" t="str">
        <f>IFERROR(INDEX(sheet6!C:C, MATCH(ROW()-1, sheet6!$K:$K, 0)), "")</f>
        <v/>
      </c>
      <c r="D68" t="str">
        <f>IFERROR(INDEX(sheet6!D:D, MATCH(ROW()-1, sheet6!$K:$K, 0)), "")</f>
        <v/>
      </c>
      <c r="E68" t="str">
        <f>IFERROR(INDEX(sheet6!E:E, MATCH(ROW()-1, sheet6!$K:$K, 0)), "")</f>
        <v/>
      </c>
      <c r="F68" t="str">
        <f>IFERROR(INDEX(sheet6!F:F, MATCH(ROW()-1, sheet6!$K:$K, 0)), "")</f>
        <v/>
      </c>
      <c r="G68" t="str">
        <f>IFERROR(INDEX(sheet6!G:G, MATCH(ROW()-1, sheet6!$K:$K, 0)), "")</f>
        <v/>
      </c>
      <c r="H68" t="str">
        <f>IFERROR(INDEX(sheet6!H:H, MATCH(ROW()-1, sheet6!$K:$K, 0)), "")</f>
        <v/>
      </c>
      <c r="I68" t="str">
        <f>IFERROR(INDEX(sheet6!I:I, MATCH(ROW()-1, sheet6!$K:$K, 0)), "")</f>
        <v/>
      </c>
    </row>
    <row r="69" spans="2:9" x14ac:dyDescent="0.25">
      <c r="B69" t="str">
        <f>IFERROR(INDEX(sheet6!B:B, MATCH(ROW()-1, sheet6!$K:$K, 0)), "")</f>
        <v/>
      </c>
      <c r="C69" t="str">
        <f>IFERROR(INDEX(sheet6!C:C, MATCH(ROW()-1, sheet6!$K:$K, 0)), "")</f>
        <v/>
      </c>
      <c r="D69" t="str">
        <f>IFERROR(INDEX(sheet6!D:D, MATCH(ROW()-1, sheet6!$K:$K, 0)), "")</f>
        <v/>
      </c>
      <c r="E69" t="str">
        <f>IFERROR(INDEX(sheet6!E:E, MATCH(ROW()-1, sheet6!$K:$K, 0)), "")</f>
        <v/>
      </c>
      <c r="F69" t="str">
        <f>IFERROR(INDEX(sheet6!F:F, MATCH(ROW()-1, sheet6!$K:$K, 0)), "")</f>
        <v/>
      </c>
      <c r="G69" t="str">
        <f>IFERROR(INDEX(sheet6!G:G, MATCH(ROW()-1, sheet6!$K:$K, 0)), "")</f>
        <v/>
      </c>
      <c r="H69" t="str">
        <f>IFERROR(INDEX(sheet6!H:H, MATCH(ROW()-1, sheet6!$K:$K, 0)), "")</f>
        <v/>
      </c>
      <c r="I69" t="str">
        <f>IFERROR(INDEX(sheet6!I:I, MATCH(ROW()-1, sheet6!$K:$K, 0)), "")</f>
        <v/>
      </c>
    </row>
    <row r="70" spans="2:9" x14ac:dyDescent="0.25">
      <c r="B70" t="str">
        <f>IFERROR(INDEX(sheet6!B:B, MATCH(ROW()-1, sheet6!$K:$K, 0)), "")</f>
        <v/>
      </c>
      <c r="C70" t="str">
        <f>IFERROR(INDEX(sheet6!C:C, MATCH(ROW()-1, sheet6!$K:$K, 0)), "")</f>
        <v/>
      </c>
      <c r="D70" t="str">
        <f>IFERROR(INDEX(sheet6!D:D, MATCH(ROW()-1, sheet6!$K:$K, 0)), "")</f>
        <v/>
      </c>
      <c r="E70" t="str">
        <f>IFERROR(INDEX(sheet6!E:E, MATCH(ROW()-1, sheet6!$K:$K, 0)), "")</f>
        <v/>
      </c>
      <c r="F70" t="str">
        <f>IFERROR(INDEX(sheet6!F:F, MATCH(ROW()-1, sheet6!$K:$K, 0)), "")</f>
        <v/>
      </c>
      <c r="G70" t="str">
        <f>IFERROR(INDEX(sheet6!G:G, MATCH(ROW()-1, sheet6!$K:$K, 0)), "")</f>
        <v/>
      </c>
      <c r="H70" t="str">
        <f>IFERROR(INDEX(sheet6!H:H, MATCH(ROW()-1, sheet6!$K:$K, 0)), "")</f>
        <v/>
      </c>
      <c r="I70" t="str">
        <f>IFERROR(INDEX(sheet6!I:I, MATCH(ROW()-1, sheet6!$K:$K, 0)), "")</f>
        <v/>
      </c>
    </row>
    <row r="71" spans="2:9" x14ac:dyDescent="0.25">
      <c r="B71" t="str">
        <f>IFERROR(INDEX(sheet6!B:B, MATCH(ROW()-1, sheet6!$K:$K, 0)), "")</f>
        <v/>
      </c>
      <c r="C71" t="str">
        <f>IFERROR(INDEX(sheet6!C:C, MATCH(ROW()-1, sheet6!$K:$K, 0)), "")</f>
        <v/>
      </c>
      <c r="D71" t="str">
        <f>IFERROR(INDEX(sheet6!D:D, MATCH(ROW()-1, sheet6!$K:$K, 0)), "")</f>
        <v/>
      </c>
      <c r="E71" t="str">
        <f>IFERROR(INDEX(sheet6!E:E, MATCH(ROW()-1, sheet6!$K:$K, 0)), "")</f>
        <v/>
      </c>
      <c r="F71" t="str">
        <f>IFERROR(INDEX(sheet6!F:F, MATCH(ROW()-1, sheet6!$K:$K, 0)), "")</f>
        <v/>
      </c>
      <c r="G71" t="str">
        <f>IFERROR(INDEX(sheet6!G:G, MATCH(ROW()-1, sheet6!$K:$K, 0)), "")</f>
        <v/>
      </c>
      <c r="H71" t="str">
        <f>IFERROR(INDEX(sheet6!H:H, MATCH(ROW()-1, sheet6!$K:$K, 0)), "")</f>
        <v/>
      </c>
      <c r="I71" t="str">
        <f>IFERROR(INDEX(sheet6!I:I, MATCH(ROW()-1, sheet6!$K:$K, 0)), "")</f>
        <v/>
      </c>
    </row>
    <row r="72" spans="2:9" x14ac:dyDescent="0.25">
      <c r="B72" t="str">
        <f>IFERROR(INDEX(sheet6!B:B, MATCH(ROW()-1, sheet6!$K:$K, 0)), "")</f>
        <v/>
      </c>
      <c r="C72" t="str">
        <f>IFERROR(INDEX(sheet6!C:C, MATCH(ROW()-1, sheet6!$K:$K, 0)), "")</f>
        <v/>
      </c>
      <c r="D72" t="str">
        <f>IFERROR(INDEX(sheet6!D:D, MATCH(ROW()-1, sheet6!$K:$K, 0)), "")</f>
        <v/>
      </c>
      <c r="E72" t="str">
        <f>IFERROR(INDEX(sheet6!E:E, MATCH(ROW()-1, sheet6!$K:$K, 0)), "")</f>
        <v/>
      </c>
      <c r="F72" t="str">
        <f>IFERROR(INDEX(sheet6!F:F, MATCH(ROW()-1, sheet6!$K:$K, 0)), "")</f>
        <v/>
      </c>
      <c r="G72" t="str">
        <f>IFERROR(INDEX(sheet6!G:G, MATCH(ROW()-1, sheet6!$K:$K, 0)), "")</f>
        <v/>
      </c>
      <c r="H72" t="str">
        <f>IFERROR(INDEX(sheet6!H:H, MATCH(ROW()-1, sheet6!$K:$K, 0)), "")</f>
        <v/>
      </c>
      <c r="I72" t="str">
        <f>IFERROR(INDEX(sheet6!I:I, MATCH(ROW()-1, sheet6!$K:$K, 0)), "")</f>
        <v/>
      </c>
    </row>
    <row r="73" spans="2:9" x14ac:dyDescent="0.25">
      <c r="B73" t="str">
        <f>IFERROR(INDEX(sheet6!B:B, MATCH(ROW()-1, sheet6!$K:$K, 0)), "")</f>
        <v/>
      </c>
      <c r="C73" t="str">
        <f>IFERROR(INDEX(sheet6!C:C, MATCH(ROW()-1, sheet6!$K:$K, 0)), "")</f>
        <v/>
      </c>
      <c r="D73" t="str">
        <f>IFERROR(INDEX(sheet6!D:D, MATCH(ROW()-1, sheet6!$K:$K, 0)), "")</f>
        <v/>
      </c>
      <c r="E73" t="str">
        <f>IFERROR(INDEX(sheet6!E:E, MATCH(ROW()-1, sheet6!$K:$K, 0)), "")</f>
        <v/>
      </c>
      <c r="F73" t="str">
        <f>IFERROR(INDEX(sheet6!F:F, MATCH(ROW()-1, sheet6!$K:$K, 0)), "")</f>
        <v/>
      </c>
      <c r="G73" t="str">
        <f>IFERROR(INDEX(sheet6!G:G, MATCH(ROW()-1, sheet6!$K:$K, 0)), "")</f>
        <v/>
      </c>
      <c r="H73" t="str">
        <f>IFERROR(INDEX(sheet6!H:H, MATCH(ROW()-1, sheet6!$K:$K, 0)), "")</f>
        <v/>
      </c>
      <c r="I73" t="str">
        <f>IFERROR(INDEX(sheet6!I:I, MATCH(ROW()-1, sheet6!$K:$K, 0)), "")</f>
        <v/>
      </c>
    </row>
    <row r="74" spans="2:9" x14ac:dyDescent="0.25">
      <c r="B74" t="str">
        <f>IFERROR(INDEX(sheet6!B:B, MATCH(ROW()-1, sheet6!$K:$K, 0)), "")</f>
        <v/>
      </c>
      <c r="C74" t="str">
        <f>IFERROR(INDEX(sheet6!C:C, MATCH(ROW()-1, sheet6!$K:$K, 0)), "")</f>
        <v/>
      </c>
      <c r="D74" t="str">
        <f>IFERROR(INDEX(sheet6!D:D, MATCH(ROW()-1, sheet6!$K:$K, 0)), "")</f>
        <v/>
      </c>
      <c r="E74" t="str">
        <f>IFERROR(INDEX(sheet6!E:E, MATCH(ROW()-1, sheet6!$K:$K, 0)), "")</f>
        <v/>
      </c>
      <c r="F74" t="str">
        <f>IFERROR(INDEX(sheet6!F:F, MATCH(ROW()-1, sheet6!$K:$K, 0)), "")</f>
        <v/>
      </c>
      <c r="G74" t="str">
        <f>IFERROR(INDEX(sheet6!G:G, MATCH(ROW()-1, sheet6!$K:$K, 0)), "")</f>
        <v/>
      </c>
      <c r="H74" t="str">
        <f>IFERROR(INDEX(sheet6!H:H, MATCH(ROW()-1, sheet6!$K:$K, 0)), "")</f>
        <v/>
      </c>
      <c r="I74" t="str">
        <f>IFERROR(INDEX(sheet6!I:I, MATCH(ROW()-1, sheet6!$K:$K, 0)), "")</f>
        <v/>
      </c>
    </row>
    <row r="75" spans="2:9" x14ac:dyDescent="0.25">
      <c r="B75" t="str">
        <f>IFERROR(INDEX(sheet6!B:B, MATCH(ROW()-1, sheet6!$K:$K, 0)), "")</f>
        <v/>
      </c>
      <c r="C75" t="str">
        <f>IFERROR(INDEX(sheet6!C:C, MATCH(ROW()-1, sheet6!$K:$K, 0)), "")</f>
        <v/>
      </c>
      <c r="D75" t="str">
        <f>IFERROR(INDEX(sheet6!D:D, MATCH(ROW()-1, sheet6!$K:$K, 0)), "")</f>
        <v/>
      </c>
      <c r="E75" t="str">
        <f>IFERROR(INDEX(sheet6!E:E, MATCH(ROW()-1, sheet6!$K:$K, 0)), "")</f>
        <v/>
      </c>
      <c r="F75" t="str">
        <f>IFERROR(INDEX(sheet6!F:F, MATCH(ROW()-1, sheet6!$K:$K, 0)), "")</f>
        <v/>
      </c>
      <c r="G75" t="str">
        <f>IFERROR(INDEX(sheet6!G:G, MATCH(ROW()-1, sheet6!$K:$K, 0)), "")</f>
        <v/>
      </c>
      <c r="H75" t="str">
        <f>IFERROR(INDEX(sheet6!H:H, MATCH(ROW()-1, sheet6!$K:$K, 0)), "")</f>
        <v/>
      </c>
      <c r="I75" t="str">
        <f>IFERROR(INDEX(sheet6!I:I, MATCH(ROW()-1, sheet6!$K:$K, 0)), "")</f>
        <v/>
      </c>
    </row>
    <row r="76" spans="2:9" x14ac:dyDescent="0.25">
      <c r="B76" t="str">
        <f>IFERROR(INDEX(sheet6!B:B, MATCH(ROW()-1, sheet6!$K:$K, 0)), "")</f>
        <v/>
      </c>
      <c r="C76" t="str">
        <f>IFERROR(INDEX(sheet6!C:C, MATCH(ROW()-1, sheet6!$K:$K, 0)), "")</f>
        <v/>
      </c>
      <c r="D76" t="str">
        <f>IFERROR(INDEX(sheet6!D:D, MATCH(ROW()-1, sheet6!$K:$K, 0)), "")</f>
        <v/>
      </c>
      <c r="E76" t="str">
        <f>IFERROR(INDEX(sheet6!E:E, MATCH(ROW()-1, sheet6!$K:$K, 0)), "")</f>
        <v/>
      </c>
      <c r="F76" t="str">
        <f>IFERROR(INDEX(sheet6!F:F, MATCH(ROW()-1, sheet6!$K:$K, 0)), "")</f>
        <v/>
      </c>
      <c r="G76" t="str">
        <f>IFERROR(INDEX(sheet6!G:G, MATCH(ROW()-1, sheet6!$K:$K, 0)), "")</f>
        <v/>
      </c>
      <c r="H76" t="str">
        <f>IFERROR(INDEX(sheet6!H:H, MATCH(ROW()-1, sheet6!$K:$K, 0)), "")</f>
        <v/>
      </c>
      <c r="I76" t="str">
        <f>IFERROR(INDEX(sheet6!I:I, MATCH(ROW()-1, sheet6!$K:$K, 0)), "")</f>
        <v/>
      </c>
    </row>
    <row r="77" spans="2:9" x14ac:dyDescent="0.25">
      <c r="B77" t="str">
        <f>IFERROR(INDEX(sheet6!B:B, MATCH(ROW()-1, sheet6!$K:$K, 0)), "")</f>
        <v/>
      </c>
      <c r="C77" t="str">
        <f>IFERROR(INDEX(sheet6!C:C, MATCH(ROW()-1, sheet6!$K:$K, 0)), "")</f>
        <v/>
      </c>
      <c r="D77" t="str">
        <f>IFERROR(INDEX(sheet6!D:D, MATCH(ROW()-1, sheet6!$K:$K, 0)), "")</f>
        <v/>
      </c>
      <c r="E77" t="str">
        <f>IFERROR(INDEX(sheet6!E:E, MATCH(ROW()-1, sheet6!$K:$K, 0)), "")</f>
        <v/>
      </c>
      <c r="F77" t="str">
        <f>IFERROR(INDEX(sheet6!F:F, MATCH(ROW()-1, sheet6!$K:$K, 0)), "")</f>
        <v/>
      </c>
      <c r="G77" t="str">
        <f>IFERROR(INDEX(sheet6!G:G, MATCH(ROW()-1, sheet6!$K:$K, 0)), "")</f>
        <v/>
      </c>
      <c r="H77" t="str">
        <f>IFERROR(INDEX(sheet6!H:H, MATCH(ROW()-1, sheet6!$K:$K, 0)), "")</f>
        <v/>
      </c>
      <c r="I77" t="str">
        <f>IFERROR(INDEX(sheet6!I:I, MATCH(ROW()-1, sheet6!$K:$K, 0)), "")</f>
        <v/>
      </c>
    </row>
    <row r="78" spans="2:9" x14ac:dyDescent="0.25">
      <c r="B78" t="str">
        <f>IFERROR(INDEX(sheet6!B:B, MATCH(ROW()-1, sheet6!$K:$K, 0)), "")</f>
        <v/>
      </c>
      <c r="C78" t="str">
        <f>IFERROR(INDEX(sheet6!C:C, MATCH(ROW()-1, sheet6!$K:$K, 0)), "")</f>
        <v/>
      </c>
      <c r="D78" t="str">
        <f>IFERROR(INDEX(sheet6!D:D, MATCH(ROW()-1, sheet6!$K:$K, 0)), "")</f>
        <v/>
      </c>
      <c r="E78" t="str">
        <f>IFERROR(INDEX(sheet6!E:E, MATCH(ROW()-1, sheet6!$K:$K, 0)), "")</f>
        <v/>
      </c>
      <c r="F78" t="str">
        <f>IFERROR(INDEX(sheet6!F:F, MATCH(ROW()-1, sheet6!$K:$K, 0)), "")</f>
        <v/>
      </c>
      <c r="G78" t="str">
        <f>IFERROR(INDEX(sheet6!G:G, MATCH(ROW()-1, sheet6!$K:$K, 0)), "")</f>
        <v/>
      </c>
      <c r="H78" t="str">
        <f>IFERROR(INDEX(sheet6!H:H, MATCH(ROW()-1, sheet6!$K:$K, 0)), "")</f>
        <v/>
      </c>
      <c r="I78" t="str">
        <f>IFERROR(INDEX(sheet6!I:I, MATCH(ROW()-1, sheet6!$K:$K, 0)), "")</f>
        <v/>
      </c>
    </row>
    <row r="79" spans="2:9" x14ac:dyDescent="0.25">
      <c r="B79" t="str">
        <f>IFERROR(INDEX(sheet6!B:B, MATCH(ROW()-1, sheet6!$K:$K, 0)), "")</f>
        <v/>
      </c>
      <c r="C79" t="str">
        <f>IFERROR(INDEX(sheet6!C:C, MATCH(ROW()-1, sheet6!$K:$K, 0)), "")</f>
        <v/>
      </c>
      <c r="D79" t="str">
        <f>IFERROR(INDEX(sheet6!D:D, MATCH(ROW()-1, sheet6!$K:$K, 0)), "")</f>
        <v/>
      </c>
      <c r="E79" t="str">
        <f>IFERROR(INDEX(sheet6!E:E, MATCH(ROW()-1, sheet6!$K:$K, 0)), "")</f>
        <v/>
      </c>
      <c r="F79" t="str">
        <f>IFERROR(INDEX(sheet6!F:F, MATCH(ROW()-1, sheet6!$K:$K, 0)), "")</f>
        <v/>
      </c>
      <c r="G79" t="str">
        <f>IFERROR(INDEX(sheet6!G:G, MATCH(ROW()-1, sheet6!$K:$K, 0)), "")</f>
        <v/>
      </c>
      <c r="H79" t="str">
        <f>IFERROR(INDEX(sheet6!H:H, MATCH(ROW()-1, sheet6!$K:$K, 0)), "")</f>
        <v/>
      </c>
      <c r="I79" t="str">
        <f>IFERROR(INDEX(sheet6!I:I, MATCH(ROW()-1, sheet6!$K:$K, 0)), "")</f>
        <v/>
      </c>
    </row>
    <row r="80" spans="2:9" x14ac:dyDescent="0.25">
      <c r="B80" t="str">
        <f>IFERROR(INDEX(sheet6!B:B, MATCH(ROW()-1, sheet6!$K:$K, 0)), "")</f>
        <v/>
      </c>
      <c r="C80" t="str">
        <f>IFERROR(INDEX(sheet6!C:C, MATCH(ROW()-1, sheet6!$K:$K, 0)), "")</f>
        <v/>
      </c>
      <c r="D80" t="str">
        <f>IFERROR(INDEX(sheet6!D:D, MATCH(ROW()-1, sheet6!$K:$K, 0)), "")</f>
        <v/>
      </c>
      <c r="E80" t="str">
        <f>IFERROR(INDEX(sheet6!E:E, MATCH(ROW()-1, sheet6!$K:$K, 0)), "")</f>
        <v/>
      </c>
      <c r="F80" t="str">
        <f>IFERROR(INDEX(sheet6!F:F, MATCH(ROW()-1, sheet6!$K:$K, 0)), "")</f>
        <v/>
      </c>
      <c r="G80" t="str">
        <f>IFERROR(INDEX(sheet6!G:G, MATCH(ROW()-1, sheet6!$K:$K, 0)), "")</f>
        <v/>
      </c>
      <c r="H80" t="str">
        <f>IFERROR(INDEX(sheet6!H:H, MATCH(ROW()-1, sheet6!$K:$K, 0)), "")</f>
        <v/>
      </c>
      <c r="I80" t="str">
        <f>IFERROR(INDEX(sheet6!I:I, MATCH(ROW()-1, sheet6!$K:$K, 0)), "")</f>
        <v/>
      </c>
    </row>
    <row r="81" spans="2:9" x14ac:dyDescent="0.25">
      <c r="B81" t="str">
        <f>IFERROR(INDEX(sheet6!B:B, MATCH(ROW()-1, sheet6!$K:$K, 0)), "")</f>
        <v/>
      </c>
      <c r="C81" t="str">
        <f>IFERROR(INDEX(sheet6!C:C, MATCH(ROW()-1, sheet6!$K:$K, 0)), "")</f>
        <v/>
      </c>
      <c r="D81" t="str">
        <f>IFERROR(INDEX(sheet6!D:D, MATCH(ROW()-1, sheet6!$K:$K, 0)), "")</f>
        <v/>
      </c>
      <c r="E81" t="str">
        <f>IFERROR(INDEX(sheet6!E:E, MATCH(ROW()-1, sheet6!$K:$K, 0)), "")</f>
        <v/>
      </c>
      <c r="F81" t="str">
        <f>IFERROR(INDEX(sheet6!F:F, MATCH(ROW()-1, sheet6!$K:$K, 0)), "")</f>
        <v/>
      </c>
      <c r="G81" t="str">
        <f>IFERROR(INDEX(sheet6!G:G, MATCH(ROW()-1, sheet6!$K:$K, 0)), "")</f>
        <v/>
      </c>
      <c r="H81" t="str">
        <f>IFERROR(INDEX(sheet6!H:H, MATCH(ROW()-1, sheet6!$K:$K, 0)), "")</f>
        <v/>
      </c>
      <c r="I81" t="str">
        <f>IFERROR(INDEX(sheet6!I:I, MATCH(ROW()-1, sheet6!$K:$K, 0)), "")</f>
        <v/>
      </c>
    </row>
    <row r="82" spans="2:9" x14ac:dyDescent="0.25">
      <c r="B82" t="str">
        <f>IFERROR(INDEX(sheet6!B:B, MATCH(ROW()-1, sheet6!$K:$K, 0)), "")</f>
        <v/>
      </c>
      <c r="C82" t="str">
        <f>IFERROR(INDEX(sheet6!C:C, MATCH(ROW()-1, sheet6!$K:$K, 0)), "")</f>
        <v/>
      </c>
      <c r="D82" t="str">
        <f>IFERROR(INDEX(sheet6!D:D, MATCH(ROW()-1, sheet6!$K:$K, 0)), "")</f>
        <v/>
      </c>
      <c r="E82" t="str">
        <f>IFERROR(INDEX(sheet6!E:E, MATCH(ROW()-1, sheet6!$K:$K, 0)), "")</f>
        <v/>
      </c>
      <c r="F82" t="str">
        <f>IFERROR(INDEX(sheet6!F:F, MATCH(ROW()-1, sheet6!$K:$K, 0)), "")</f>
        <v/>
      </c>
      <c r="G82" t="str">
        <f>IFERROR(INDEX(sheet6!G:G, MATCH(ROW()-1, sheet6!$K:$K, 0)), "")</f>
        <v/>
      </c>
      <c r="H82" t="str">
        <f>IFERROR(INDEX(sheet6!H:H, MATCH(ROW()-1, sheet6!$K:$K, 0)), "")</f>
        <v/>
      </c>
      <c r="I82" t="str">
        <f>IFERROR(INDEX(sheet6!I:I, MATCH(ROW()-1, sheet6!$K:$K, 0)), "")</f>
        <v/>
      </c>
    </row>
    <row r="83" spans="2:9" x14ac:dyDescent="0.25">
      <c r="B83" t="str">
        <f>IFERROR(INDEX(sheet6!B:B, MATCH(ROW()-1, sheet6!$K:$K, 0)), "")</f>
        <v/>
      </c>
      <c r="C83" t="str">
        <f>IFERROR(INDEX(sheet6!C:C, MATCH(ROW()-1, sheet6!$K:$K, 0)), "")</f>
        <v/>
      </c>
      <c r="D83" t="str">
        <f>IFERROR(INDEX(sheet6!D:D, MATCH(ROW()-1, sheet6!$K:$K, 0)), "")</f>
        <v/>
      </c>
      <c r="E83" t="str">
        <f>IFERROR(INDEX(sheet6!E:E, MATCH(ROW()-1, sheet6!$K:$K, 0)), "")</f>
        <v/>
      </c>
      <c r="F83" t="str">
        <f>IFERROR(INDEX(sheet6!F:F, MATCH(ROW()-1, sheet6!$K:$K, 0)), "")</f>
        <v/>
      </c>
      <c r="G83" t="str">
        <f>IFERROR(INDEX(sheet6!G:G, MATCH(ROW()-1, sheet6!$K:$K, 0)), "")</f>
        <v/>
      </c>
      <c r="H83" t="str">
        <f>IFERROR(INDEX(sheet6!H:H, MATCH(ROW()-1, sheet6!$K:$K, 0)), "")</f>
        <v/>
      </c>
      <c r="I83" t="str">
        <f>IFERROR(INDEX(sheet6!I:I, MATCH(ROW()-1, sheet6!$K:$K, 0)), "")</f>
        <v/>
      </c>
    </row>
    <row r="84" spans="2:9" x14ac:dyDescent="0.25">
      <c r="B84" t="str">
        <f>IFERROR(INDEX(sheet6!B:B, MATCH(ROW()-1, sheet6!$K:$K, 0)), "")</f>
        <v/>
      </c>
      <c r="C84" t="str">
        <f>IFERROR(INDEX(sheet6!C:C, MATCH(ROW()-1, sheet6!$K:$K, 0)), "")</f>
        <v/>
      </c>
      <c r="D84" t="str">
        <f>IFERROR(INDEX(sheet6!D:D, MATCH(ROW()-1, sheet6!$K:$K, 0)), "")</f>
        <v/>
      </c>
      <c r="E84" t="str">
        <f>IFERROR(INDEX(sheet6!E:E, MATCH(ROW()-1, sheet6!$K:$K, 0)), "")</f>
        <v/>
      </c>
      <c r="F84" t="str">
        <f>IFERROR(INDEX(sheet6!F:F, MATCH(ROW()-1, sheet6!$K:$K, 0)), "")</f>
        <v/>
      </c>
      <c r="G84" t="str">
        <f>IFERROR(INDEX(sheet6!G:G, MATCH(ROW()-1, sheet6!$K:$K, 0)), "")</f>
        <v/>
      </c>
      <c r="H84" t="str">
        <f>IFERROR(INDEX(sheet6!H:H, MATCH(ROW()-1, sheet6!$K:$K, 0)), "")</f>
        <v/>
      </c>
      <c r="I84" t="str">
        <f>IFERROR(INDEX(sheet6!I:I, MATCH(ROW()-1, sheet6!$K:$K, 0)), "")</f>
        <v/>
      </c>
    </row>
    <row r="85" spans="2:9" x14ac:dyDescent="0.25">
      <c r="B85" t="str">
        <f>IFERROR(INDEX(sheet6!B:B, MATCH(ROW()-1, sheet6!$K:$K, 0)), "")</f>
        <v/>
      </c>
      <c r="C85" t="str">
        <f>IFERROR(INDEX(sheet6!C:C, MATCH(ROW()-1, sheet6!$K:$K, 0)), "")</f>
        <v/>
      </c>
      <c r="D85" t="str">
        <f>IFERROR(INDEX(sheet6!D:D, MATCH(ROW()-1, sheet6!$K:$K, 0)), "")</f>
        <v/>
      </c>
      <c r="E85" t="str">
        <f>IFERROR(INDEX(sheet6!E:E, MATCH(ROW()-1, sheet6!$K:$K, 0)), "")</f>
        <v/>
      </c>
      <c r="F85" t="str">
        <f>IFERROR(INDEX(sheet6!F:F, MATCH(ROW()-1, sheet6!$K:$K, 0)), "")</f>
        <v/>
      </c>
      <c r="G85" t="str">
        <f>IFERROR(INDEX(sheet6!G:G, MATCH(ROW()-1, sheet6!$K:$K, 0)), "")</f>
        <v/>
      </c>
      <c r="H85" t="str">
        <f>IFERROR(INDEX(sheet6!H:H, MATCH(ROW()-1, sheet6!$K:$K, 0)), "")</f>
        <v/>
      </c>
      <c r="I85" t="str">
        <f>IFERROR(INDEX(sheet6!I:I, MATCH(ROW()-1, sheet6!$K:$K, 0)), "")</f>
        <v/>
      </c>
    </row>
    <row r="86" spans="2:9" x14ac:dyDescent="0.25">
      <c r="B86" t="str">
        <f>IFERROR(INDEX(sheet6!B:B, MATCH(ROW()-1, sheet6!$K:$K, 0)), "")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</row>
    <row r="87" spans="2:9" x14ac:dyDescent="0.25">
      <c r="B87" t="str">
        <f>IFERROR(INDEX(sheet6!B:B, MATCH(ROW()-1, sheet6!$K:$K, 0)), "")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</row>
    <row r="88" spans="2:9" x14ac:dyDescent="0.25">
      <c r="B88" t="str">
        <f>IFERROR(INDEX(sheet6!B:B, MATCH(ROW()-1, sheet6!$K:$K, 0)), "")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</row>
    <row r="89" spans="2:9" x14ac:dyDescent="0.25">
      <c r="B89" t="str">
        <f>IFERROR(INDEX(sheet6!B:B, MATCH(ROW()-1, sheet6!$K:$K, 0)), "")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</row>
    <row r="90" spans="2:9" x14ac:dyDescent="0.25">
      <c r="B90" t="str">
        <f>IFERROR(INDEX(sheet6!B:B, MATCH(ROW()-1, sheet6!$K:$K, 0)), "")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</row>
    <row r="91" spans="2:9" x14ac:dyDescent="0.25">
      <c r="B91" t="str">
        <f>IFERROR(INDEX(sheet6!B:B, MATCH(ROW()-1, sheet6!$K:$K, 0)), "")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</row>
    <row r="92" spans="2:9" x14ac:dyDescent="0.25">
      <c r="B92" t="str">
        <f>IFERROR(INDEX(sheet6!B:B, MATCH(ROW()-1, sheet6!$K:$K, 0)), "")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</row>
    <row r="93" spans="2:9" x14ac:dyDescent="0.25">
      <c r="B93" t="str">
        <f>IFERROR(INDEX(sheet6!B:B, MATCH(ROW()-1, sheet6!$K:$K, 0)), "")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</row>
    <row r="94" spans="2:9" x14ac:dyDescent="0.25">
      <c r="B94" t="str">
        <f>IFERROR(INDEX(sheet6!B:B, MATCH(ROW()-1, sheet6!$K:$K, 0)), "")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</row>
    <row r="95" spans="2:9" x14ac:dyDescent="0.25">
      <c r="B95" t="str">
        <f>IFERROR(INDEX(sheet6!B:B, MATCH(ROW()-1, sheet6!$K:$K, 0)), "")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</row>
    <row r="96" spans="2:9" x14ac:dyDescent="0.25">
      <c r="B96" t="str">
        <f>IFERROR(INDEX(sheet6!B:B, MATCH(ROW()-1, sheet6!$K:$K, 0)), "")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</row>
    <row r="97" spans="2:9" x14ac:dyDescent="0.25">
      <c r="B97" t="str">
        <f>IFERROR(INDEX(sheet6!B:B, MATCH(ROW()-1, sheet6!$K:$K, 0)), "")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</row>
    <row r="98" spans="2:9" x14ac:dyDescent="0.25">
      <c r="B98" t="str">
        <f>IFERROR(INDEX(sheet6!B:B, MATCH(ROW()-1, sheet6!$K:$K, 0)), "")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</row>
    <row r="99" spans="2:9" x14ac:dyDescent="0.25">
      <c r="B99" t="str">
        <f>IFERROR(INDEX(sheet6!B:B, MATCH(ROW()-1, sheet6!$K:$K, 0)), "")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</row>
    <row r="100" spans="2:9" x14ac:dyDescent="0.25">
      <c r="B100" t="str">
        <f>IFERROR(INDEX(sheet6!B:B, MATCH(ROW()-1, sheet6!$K:$K, 0)), "")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</row>
    <row r="101" spans="2:9" x14ac:dyDescent="0.25">
      <c r="B101" t="str">
        <f>IFERROR(INDEX(sheet6!B:B, MATCH(ROW()-1, sheet6!$K:$K, 0)), "")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</row>
    <row r="102" spans="2:9" x14ac:dyDescent="0.25">
      <c r="B102" t="str">
        <f>IFERROR(INDEX(sheet6!B:B, MATCH(ROW()-1, sheet6!$K:$K, 0)), "")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</row>
    <row r="103" spans="2:9" x14ac:dyDescent="0.25">
      <c r="B103" t="str">
        <f>IFERROR(INDEX(sheet6!B:B, MATCH(ROW()-1, sheet6!$K:$K, 0)), "")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</row>
    <row r="104" spans="2:9" x14ac:dyDescent="0.25">
      <c r="B104" t="str">
        <f>IFERROR(INDEX(sheet6!B:B, MATCH(ROW()-1, sheet6!$K:$K, 0)), "")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</row>
    <row r="105" spans="2:9" x14ac:dyDescent="0.25">
      <c r="B105" t="str">
        <f>IFERROR(INDEX(sheet6!B:B, MATCH(ROW()-1, sheet6!$K:$K, 0)), "")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H600"/>
  <sheetViews>
    <sheetView workbookViewId="0">
      <selection activeCell="G18" sqref="G18"/>
    </sheetView>
  </sheetViews>
  <sheetFormatPr defaultRowHeight="15" x14ac:dyDescent="0.25"/>
  <cols>
    <col min="1" max="1" width="22.42578125" bestFit="1" customWidth="1"/>
    <col min="2" max="2" width="9.42578125" bestFit="1" customWidth="1"/>
    <col min="3" max="3" width="10" bestFit="1" customWidth="1"/>
    <col min="5" max="5" width="12.42578125" bestFit="1" customWidth="1"/>
    <col min="6" max="6" width="10.7109375" bestFit="1" customWidth="1"/>
    <col min="7" max="7" width="11" bestFit="1" customWidth="1"/>
    <col min="8" max="8" width="8.5703125" bestFit="1" customWidth="1"/>
    <col min="9" max="9" width="22.42578125" bestFit="1" customWidth="1"/>
    <col min="14" max="24" width="0" hidden="1" customWidth="1"/>
    <col min="25" max="25" width="8.140625" hidden="1" customWidth="1"/>
    <col min="28" max="28" width="19.42578125" bestFit="1" customWidth="1"/>
    <col min="33" max="33" width="19.42578125" bestFit="1" customWidth="1"/>
    <col min="34" max="34" width="9.42578125" bestFit="1" customWidth="1"/>
  </cols>
  <sheetData>
    <row r="1" spans="1:34" x14ac:dyDescent="0.25">
      <c r="A1" t="s">
        <v>121</v>
      </c>
      <c r="B1" t="s">
        <v>1</v>
      </c>
      <c r="C1" t="s">
        <v>0</v>
      </c>
      <c r="D1" t="s">
        <v>3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K1" t="s">
        <v>127</v>
      </c>
      <c r="Z1">
        <f>COUNTIFS(auditor_2!B2:B785,"&lt;&gt;",auditor_1!B2:B785,"&lt;&gt;0")</f>
        <v>6</v>
      </c>
      <c r="AB1" t="s">
        <v>133</v>
      </c>
      <c r="AC1">
        <f>COUNTA(Data!B2:B1048576)</f>
        <v>10</v>
      </c>
      <c r="AD1">
        <f>AC1/$AC$5</f>
        <v>5</v>
      </c>
      <c r="AF1" t="s">
        <v>136</v>
      </c>
      <c r="AG1" t="s">
        <v>132</v>
      </c>
      <c r="AH1">
        <f>COUNTIFS(auditor_1!B2:B100,"&lt;&gt;", auditor_1!G2:G100,"&lt;&gt;0")</f>
        <v>5</v>
      </c>
    </row>
    <row r="2" spans="1:34" x14ac:dyDescent="0.25">
      <c r="A2">
        <f>IF(B2="","",ROW()-1)</f>
        <v>1</v>
      </c>
      <c r="B2" t="str">
        <f>IF(ROW()-1&lt;=$Z$1,
   INDEX(auditor_2!B$2:B$958,$Z$1-(ROW()-2)),
IF(ROW()-1&lt;=$Z$1+$Z$2,
   INDEX(auditor_1!B$2:B$785,$Z$2-(ROW()-$Z$1-2)),
""))</f>
        <v>ITM0010</v>
      </c>
      <c r="C2" t="str">
        <f>IFERROR(VLOOKUP(B2,Data!$B:$Q,16,FALSE),"")</f>
        <v>Item 010</v>
      </c>
      <c r="D2" t="str">
        <f>IFERROR(VLOOKUP(B2,Data!$B:$Q,3,FALSE),"")</f>
        <v>L</v>
      </c>
      <c r="E2" t="str">
        <f>IF(B2="","",
IF(ROW()-1&lt;=$Z$1,
   INDEX(auditor_2!F$2:F$958,$Z$1-(ROW()-2)),
   INDEX(auditor_1!F$2:F$785,$Z$2-(ROW()-$Z$1-2))
))</f>
        <v>egggg tttt</v>
      </c>
      <c r="F2">
        <f>IF(B2="","",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2">
        <f>IF(B2="","",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2">
        <f>IFERROR(VLOOKUP(B2,Data!$B:$Q,15,FALSE),"")</f>
        <v>10</v>
      </c>
      <c r="I2" t="str">
        <f>IF(B2="","",
IF(ROW()-1&lt;=$Z$1,
   INDEX(auditor_2!A$2:A$958,$Z$1-(ROW()-2)),
   INDEX(auditor_1!A$2:A$785,$Z$2-(ROW()-$Z$1-2))
))</f>
        <v>Storage A@A-2@B-4@L-1</v>
      </c>
      <c r="K2" t="str">
        <f>IF(AND(F2&lt;&gt;0, B2&lt;&gt;""), MAX($K$1:K1)+1, "")</f>
        <v/>
      </c>
      <c r="Z2">
        <f>COUNTIFS(auditor_1!B2:B785,"&lt;&gt;",auditor_2!B2:B785,"&lt;&gt;0")</f>
        <v>6</v>
      </c>
      <c r="AB2" t="s">
        <v>132</v>
      </c>
      <c r="AC2">
        <f>+AH1+AH4</f>
        <v>10</v>
      </c>
      <c r="AD2">
        <f>AC3/$AC$5</f>
        <v>50</v>
      </c>
      <c r="AG2" t="s">
        <v>130</v>
      </c>
      <c r="AH2">
        <f>SUMIFS(auditor_1!C:C, auditor_1!G:G, "&lt;&gt;0")</f>
        <v>35</v>
      </c>
    </row>
    <row r="3" spans="1:34" x14ac:dyDescent="0.25">
      <c r="A3">
        <f t="shared" ref="A3:A66" si="0">IF(B3="","",ROW()-1)</f>
        <v>2</v>
      </c>
      <c r="B3" t="str">
        <f>IF(ROW()-1&lt;=$Z$1,
   INDEX(auditor_2!B$2:B$958,$Z$1-(ROW()-2)),
IF(ROW()-1&lt;=$Z$1+$Z$2,
   INDEX(auditor_1!B$2:B$785,$Z$2-(ROW()-$Z$1-2)),
""))</f>
        <v>ITM0009</v>
      </c>
      <c r="C3" t="str">
        <f>IFERROR(VLOOKUP(B3,Data!$B:$Q,16,FALSE),"")</f>
        <v>Item 009</v>
      </c>
      <c r="D3" t="str">
        <f>IFERROR(VLOOKUP(B3,Data!$B:$Q,3,FALSE),"")</f>
        <v>w</v>
      </c>
      <c r="E3" t="str">
        <f>IF(B3="","",
IF(ROW()-1&lt;=$Z$1,
   INDEX(auditor_2!F$2:F$958,$Z$1-(ROW()-2)),
   INDEX(auditor_1!F$2:F$785,$Z$2-(ROW()-$Z$1-2))
))</f>
        <v>egggg tttt</v>
      </c>
      <c r="F3">
        <f>IF(B3="","",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2.33</v>
      </c>
      <c r="G3">
        <f>IF(B3="","",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4</v>
      </c>
      <c r="H3">
        <f>IFERROR(VLOOKUP(B3,Data!$B:$Q,15,FALSE),"")</f>
        <v>10</v>
      </c>
      <c r="I3" t="str">
        <f>IF(B3="","",
IF(ROW()-1&lt;=$Z$1,
   INDEX(auditor_2!A$2:A$958,$Z$1-(ROW()-2)),
   INDEX(auditor_1!A$2:A$785,$Z$2-(ROW()-$Z$1-2))
))</f>
        <v>Storage A@A-3@B-5@L-3</v>
      </c>
      <c r="K3">
        <f>IF(AND(F3&lt;&gt;0, B3&lt;&gt;""), MAX($K$1:K2)+1, "")</f>
        <v>1</v>
      </c>
      <c r="AB3" t="s">
        <v>131</v>
      </c>
      <c r="AC3">
        <f>SUM(Data!P2:P1048576)</f>
        <v>100</v>
      </c>
      <c r="AG3" t="s">
        <v>135</v>
      </c>
      <c r="AH3" s="21">
        <f>((AH1/AD1)*0.25 + (AH2/AD2)*0.75)</f>
        <v>0.77499999999999991</v>
      </c>
    </row>
    <row r="4" spans="1:34" x14ac:dyDescent="0.25">
      <c r="A4">
        <f t="shared" si="0"/>
        <v>3</v>
      </c>
      <c r="B4" t="str">
        <f>IF(ROW()-1&lt;=$Z$1,
   INDEX(auditor_2!B$2:B$958,$Z$1-(ROW()-2)),
IF(ROW()-1&lt;=$Z$1+$Z$2,
   INDEX(auditor_1!B$2:B$785,$Z$2-(ROW()-$Z$1-2)),
""))</f>
        <v>ITM0008</v>
      </c>
      <c r="C4" t="str">
        <f>IFERROR(VLOOKUP(B4,Data!$B:$Q,16,FALSE),"")</f>
        <v>Item 008</v>
      </c>
      <c r="D4" t="str">
        <f>IFERROR(VLOOKUP(B4,Data!$B:$Q,3,FALSE),"")</f>
        <v>%$</v>
      </c>
      <c r="E4" t="str">
        <f>IF(B4="","",
IF(ROW()-1&lt;=$Z$1,
   INDEX(auditor_2!F$2:F$958,$Z$1-(ROW()-2)),
   INDEX(auditor_1!F$2:F$785,$Z$2-(ROW()-$Z$1-2))
))</f>
        <v>egggg tttt</v>
      </c>
      <c r="F4">
        <f>IF(B4="","",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2.21</v>
      </c>
      <c r="G4">
        <f>IF(B4="","",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4">
        <f>IFERROR(VLOOKUP(B4,Data!$B:$Q,15,FALSE),"")</f>
        <v>10</v>
      </c>
      <c r="I4" t="str">
        <f>IF(B4="","",
IF(ROW()-1&lt;=$Z$1,
   INDEX(auditor_2!A$2:A$958,$Z$1-(ROW()-2)),
   INDEX(auditor_1!A$2:A$785,$Z$2-(ROW()-$Z$1-2))
))</f>
        <v>Storage A@A-2@B-3@L-5</v>
      </c>
      <c r="K4">
        <f>IF(AND(F4&lt;&gt;0, B4&lt;&gt;""), MAX($K$1:K3)+1, "")</f>
        <v>2</v>
      </c>
      <c r="AB4" t="s">
        <v>130</v>
      </c>
      <c r="AC4">
        <f>+AH2+AH5</f>
        <v>61.783200000000001</v>
      </c>
      <c r="AD4">
        <v>81.783199999999994</v>
      </c>
      <c r="AF4" t="s">
        <v>137</v>
      </c>
      <c r="AG4" t="s">
        <v>132</v>
      </c>
      <c r="AH4">
        <f>COUNTIFS(auditor_2!B2:B100,"&lt;&gt;", auditor_2!G2:G100,"&lt;&gt;0")</f>
        <v>5</v>
      </c>
    </row>
    <row r="5" spans="1:34" x14ac:dyDescent="0.25">
      <c r="A5">
        <f t="shared" si="0"/>
        <v>4</v>
      </c>
      <c r="B5" t="str">
        <f>IF(ROW()-1&lt;=$Z$1,
   INDEX(auditor_2!B$2:B$958,$Z$1-(ROW()-2)),
IF(ROW()-1&lt;=$Z$1+$Z$2,
   INDEX(auditor_1!B$2:B$785,$Z$2-(ROW()-$Z$1-2)),
""))</f>
        <v>ITM0007</v>
      </c>
      <c r="C5" t="str">
        <f>IFERROR(VLOOKUP(B5,Data!$B:$Q,16,FALSE),"")</f>
        <v>Item 007</v>
      </c>
      <c r="D5" t="str">
        <f>IFERROR(VLOOKUP(B5,Data!$B:$Q,3,FALSE),"")</f>
        <v>#$</v>
      </c>
      <c r="E5" t="str">
        <f>IF(B5="","",
IF(ROW()-1&lt;=$Z$1,
   INDEX(auditor_2!F$2:F$958,$Z$1-(ROW()-2)),
   INDEX(auditor_1!F$2:F$785,$Z$2-(ROW()-$Z$1-2))
))</f>
        <v>egggg tttt</v>
      </c>
      <c r="F5">
        <f>IF(B5="","",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12.122</v>
      </c>
      <c r="G5">
        <f>IF(B5="","",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0.21290000000000001</v>
      </c>
      <c r="H5">
        <f>IFERROR(VLOOKUP(B5,Data!$B:$Q,15,FALSE),"")</f>
        <v>10</v>
      </c>
      <c r="I5" t="str">
        <f>IF(B5="","",
IF(ROW()-1&lt;=$Z$1,
   INDEX(auditor_2!A$2:A$958,$Z$1-(ROW()-2)),
   INDEX(auditor_1!A$2:A$785,$Z$2-(ROW()-$Z$1-2))
))</f>
        <v>Storage A@A-3@B-5@L-2</v>
      </c>
      <c r="K5">
        <f>IF(AND(F5&lt;&gt;0, B5&lt;&gt;""), MAX($K$1:K4)+1, "")</f>
        <v>3</v>
      </c>
      <c r="AB5" t="s">
        <v>134</v>
      </c>
      <c r="AC5">
        <f>COUNTA(AF$1:AF$10)</f>
        <v>2</v>
      </c>
      <c r="AG5" t="s">
        <v>130</v>
      </c>
      <c r="AH5">
        <f>SUMIFS(auditor_2!C:C, auditor_2!G:G, "&lt;&gt;0")</f>
        <v>26.783200000000001</v>
      </c>
    </row>
    <row r="6" spans="1:34" x14ac:dyDescent="0.25">
      <c r="A6">
        <f t="shared" si="0"/>
        <v>5</v>
      </c>
      <c r="B6" t="str">
        <f>IF(ROW()-1&lt;=$Z$1,
   INDEX(auditor_2!B$2:B$958,$Z$1-(ROW()-2)),
IF(ROW()-1&lt;=$Z$1+$Z$2,
   INDEX(auditor_1!B$2:B$785,$Z$2-(ROW()-$Z$1-2)),
""))</f>
        <v>ITM0006</v>
      </c>
      <c r="C6" t="str">
        <f>IFERROR(VLOOKUP(B6,Data!$B:$Q,16,FALSE),"")</f>
        <v>Item 006</v>
      </c>
      <c r="D6">
        <f>IFERROR(VLOOKUP(B6,Data!$B:$Q,3,FALSE),"")</f>
        <v>0</v>
      </c>
      <c r="E6" t="str">
        <f>IF(B6="","",
IF(ROW()-1&lt;=$Z$1,
   INDEX(auditor_2!F$2:F$958,$Z$1-(ROW()-2)),
   INDEX(auditor_1!F$2:F$785,$Z$2-(ROW()-$Z$1-2))
))</f>
        <v>egggg tttt</v>
      </c>
      <c r="F6">
        <f>IF(B6="","",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10.1212</v>
      </c>
      <c r="G6">
        <f>IF(B6="","",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</v>
      </c>
      <c r="H6">
        <f>IFERROR(VLOOKUP(B6,Data!$B:$Q,15,FALSE),"")</f>
        <v>10</v>
      </c>
      <c r="I6" t="str">
        <f>IF(B6="","",
IF(ROW()-1&lt;=$Z$1,
   INDEX(auditor_2!A$2:A$958,$Z$1-(ROW()-2)),
   INDEX(auditor_1!A$2:A$785,$Z$2-(ROW()-$Z$1-2))
))</f>
        <v>Storage A@A-3@B-5@L-1</v>
      </c>
      <c r="K6">
        <f>IF(AND(F6&lt;&gt;0, B6&lt;&gt;""), MAX($K$1:K5)+1, "")</f>
        <v>4</v>
      </c>
      <c r="AD6" s="22">
        <v>87</v>
      </c>
      <c r="AG6" t="s">
        <v>135</v>
      </c>
      <c r="AH6" s="21">
        <f>((AH1/AD1)*0.25 + (AH5/AD2)*0.75)</f>
        <v>0.65174799999999999</v>
      </c>
    </row>
    <row r="7" spans="1:34" x14ac:dyDescent="0.25">
      <c r="A7">
        <f t="shared" si="0"/>
        <v>6</v>
      </c>
      <c r="B7" t="str">
        <f>IF(ROW()-1&lt;=$Z$1,
   INDEX(auditor_2!B$2:B$958,$Z$1-(ROW()-2)),
IF(ROW()-1&lt;=$Z$1+$Z$2,
   INDEX(auditor_1!B$2:B$785,$Z$2-(ROW()-$Z$1-2)),
""))</f>
        <v>ABC11234</v>
      </c>
      <c r="C7" t="str">
        <f>IFERROR(VLOOKUP(B7,Data!$B:$Q,16,FALSE),"")</f>
        <v/>
      </c>
      <c r="D7" t="str">
        <f>IFERROR(VLOOKUP(B7,Data!$B:$Q,3,FALSE),"")</f>
        <v/>
      </c>
      <c r="E7" t="str">
        <f>IF(B7="","",
IF(ROW()-1&lt;=$Z$1,
   INDEX(auditor_2!F$2:F$958,$Z$1-(ROW()-2)),
   INDEX(auditor_1!F$2:F$785,$Z$2-(ROW()-$Z$1-2))
))</f>
        <v>egggg tttt</v>
      </c>
      <c r="F7">
        <f>IF(B7="","",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7">
        <f>IF(B7="","",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7" t="str">
        <f>IFERROR(VLOOKUP(B7,Data!$B:$Q,15,FALSE),"")</f>
        <v/>
      </c>
      <c r="I7" t="str">
        <f>IF(B7="","",
IF(ROW()-1&lt;=$Z$1,
   INDEX(auditor_2!A$2:A$958,$Z$1-(ROW()-2)),
   INDEX(auditor_1!A$2:A$785,$Z$2-(ROW()-$Z$1-2))
))</f>
        <v>Storage A@A-2@B-3@L-3</v>
      </c>
      <c r="K7">
        <f>IF(AND(F7&lt;&gt;0, B7&lt;&gt;""), MAX($K$1:K6)+1, "")</f>
        <v>5</v>
      </c>
      <c r="AB7" t="s">
        <v>129</v>
      </c>
      <c r="AC7" s="21">
        <f>AVERAGE(AH3,AH6)</f>
        <v>0.71337399999999995</v>
      </c>
      <c r="AD7" s="21">
        <f>((AC2/AC1)*0.25 + (AD4/AC3)*0.75)</f>
        <v>0.86337399999999986</v>
      </c>
      <c r="AE7" s="10"/>
      <c r="AF7" s="10"/>
    </row>
    <row r="8" spans="1:34" x14ac:dyDescent="0.25">
      <c r="A8">
        <f t="shared" si="0"/>
        <v>7</v>
      </c>
      <c r="B8" t="str">
        <f>IF(ROW()-1&lt;=$Z$1,
   INDEX(auditor_2!B$2:B$958,$Z$1-(ROW()-2)),
IF(ROW()-1&lt;=$Z$1+$Z$2,
   INDEX(auditor_1!B$2:B$785,$Z$2-(ROW()-$Z$1-2)),
""))</f>
        <v>ITM0005</v>
      </c>
      <c r="C8" t="str">
        <f>IFERROR(VLOOKUP(B8,Data!$B:$Q,16,FALSE),"")</f>
        <v>Item 005</v>
      </c>
      <c r="D8">
        <f>IFERROR(VLOOKUP(B8,Data!$B:$Q,3,FALSE),"")</f>
        <v>12</v>
      </c>
      <c r="E8" t="str">
        <f>IF(B8="","",
IF(ROW()-1&lt;=$Z$1,
   INDEX(auditor_2!F$2:F$958,$Z$1-(ROW()-2)),
   INDEX(auditor_1!F$2:F$785,$Z$2-(ROW()-$Z$1-2))
))</f>
        <v>dine</v>
      </c>
      <c r="F8">
        <f>IF(B8="","",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8">
        <f>IF(B8="","",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8">
        <f>IFERROR(VLOOKUP(B8,Data!$B:$Q,15,FALSE),"")</f>
        <v>10</v>
      </c>
      <c r="I8" t="str">
        <f>IF(B8="","",
IF(ROW()-1&lt;=$Z$1,
   INDEX(auditor_2!A$2:A$958,$Z$1-(ROW()-2)),
   INDEX(auditor_1!A$2:A$785,$Z$2-(ROW()-$Z$1-2))
))</f>
        <v>Storage A@A-2@B-3@L-4</v>
      </c>
      <c r="K8">
        <f>IF(AND(F8&lt;&gt;0, B8&lt;&gt;""), MAX($K$1:K7)+1, "")</f>
        <v>6</v>
      </c>
    </row>
    <row r="9" spans="1:34" x14ac:dyDescent="0.25">
      <c r="A9">
        <f t="shared" si="0"/>
        <v>8</v>
      </c>
      <c r="B9" t="str">
        <f>IF(ROW()-1&lt;=$Z$1,
   INDEX(auditor_2!B$2:B$958,$Z$1-(ROW()-2)),
IF(ROW()-1&lt;=$Z$1+$Z$2,
   INDEX(auditor_1!B$2:B$785,$Z$2-(ROW()-$Z$1-2)),
""))</f>
        <v>ITM0004</v>
      </c>
      <c r="C9" t="str">
        <f>IFERROR(VLOOKUP(B9,Data!$B:$Q,16,FALSE),"")</f>
        <v>Item 004</v>
      </c>
      <c r="D9">
        <f>IFERROR(VLOOKUP(B9,Data!$B:$Q,3,FALSE),"")</f>
        <v>0.22</v>
      </c>
      <c r="E9" t="str">
        <f>IF(B9="","",
IF(ROW()-1&lt;=$Z$1,
   INDEX(auditor_2!F$2:F$958,$Z$1-(ROW()-2)),
   INDEX(auditor_1!F$2:F$785,$Z$2-(ROW()-$Z$1-2))
))</f>
        <v>dine</v>
      </c>
      <c r="F9">
        <f>IF(B9="","",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5</v>
      </c>
      <c r="G9">
        <f>IF(B9="","",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9">
        <f>IFERROR(VLOOKUP(B9,Data!$B:$Q,15,FALSE),"")</f>
        <v>10</v>
      </c>
      <c r="I9" t="str">
        <f>IF(B9="","",
IF(ROW()-1&lt;=$Z$1,
   INDEX(auditor_2!A$2:A$958,$Z$1-(ROW()-2)),
   INDEX(auditor_1!A$2:A$785,$Z$2-(ROW()-$Z$1-2))
))</f>
        <v>Storage A@A-1@B-1@L-3</v>
      </c>
      <c r="K9">
        <f>IF(AND(F9&lt;&gt;0, B9&lt;&gt;""), MAX($K$1:K8)+1, "")</f>
        <v>7</v>
      </c>
    </row>
    <row r="10" spans="1:34" x14ac:dyDescent="0.25">
      <c r="A10">
        <f t="shared" si="0"/>
        <v>9</v>
      </c>
      <c r="B10" t="str">
        <f>IF(ROW()-1&lt;=$Z$1,
   INDEX(auditor_2!B$2:B$958,$Z$1-(ROW()-2)),
IF(ROW()-1&lt;=$Z$1+$Z$2,
   INDEX(auditor_1!B$2:B$785,$Z$2-(ROW()-$Z$1-2)),
""))</f>
        <v>ITM0003</v>
      </c>
      <c r="C10" t="str">
        <f>IFERROR(VLOOKUP(B10,Data!$B:$Q,16,FALSE),"")</f>
        <v>Item 003</v>
      </c>
      <c r="D10">
        <f>IFERROR(VLOOKUP(B10,Data!$B:$Q,3,FALSE),"")</f>
        <v>12</v>
      </c>
      <c r="E10" t="str">
        <f>IF(B10="","",
IF(ROW()-1&lt;=$Z$1,
   INDEX(auditor_2!F$2:F$958,$Z$1-(ROW()-2)),
   INDEX(auditor_1!F$2:F$785,$Z$2-(ROW()-$Z$1-2))
))</f>
        <v>dine</v>
      </c>
      <c r="F10">
        <f>IF(B10="","",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10">
        <f>IF(B10="","",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0">
        <f>IFERROR(VLOOKUP(B10,Data!$B:$Q,15,FALSE),"")</f>
        <v>10</v>
      </c>
      <c r="I10" t="str">
        <f>IF(B10="","",
IF(ROW()-1&lt;=$Z$1,
   INDEX(auditor_2!A$2:A$958,$Z$1-(ROW()-2)),
   INDEX(auditor_1!A$2:A$785,$Z$2-(ROW()-$Z$1-2))
))</f>
        <v>Storage A@A-2@B-3@L-3</v>
      </c>
      <c r="K10" t="str">
        <f>IF(AND(F10&lt;&gt;0, B10&lt;&gt;""), MAX($K$1:K9)+1, "")</f>
        <v/>
      </c>
    </row>
    <row r="11" spans="1:34" x14ac:dyDescent="0.25">
      <c r="A11">
        <f t="shared" si="0"/>
        <v>10</v>
      </c>
      <c r="B11" t="str">
        <f>IF(ROW()-1&lt;=$Z$1,
   INDEX(auditor_2!B$2:B$958,$Z$1-(ROW()-2)),
IF(ROW()-1&lt;=$Z$1+$Z$2,
   INDEX(auditor_1!B$2:B$785,$Z$2-(ROW()-$Z$1-2)),
""))</f>
        <v>ITM0002</v>
      </c>
      <c r="C11" t="str">
        <f>IFERROR(VLOOKUP(B11,Data!$B:$Q,16,FALSE),"")</f>
        <v>Item 002</v>
      </c>
      <c r="D11" t="str">
        <f>IFERROR(VLOOKUP(B11,Data!$B:$Q,3,FALSE),"")</f>
        <v>ml</v>
      </c>
      <c r="E11" t="str">
        <f>IF(B11="","",
IF(ROW()-1&lt;=$Z$1,
   INDEX(auditor_2!F$2:F$958,$Z$1-(ROW()-2)),
   INDEX(auditor_1!F$2:F$785,$Z$2-(ROW()-$Z$1-2))
))</f>
        <v>dine</v>
      </c>
      <c r="F11">
        <f>IF(B11="","",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1">
        <f>IF(B11="","",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11">
        <f>IFERROR(VLOOKUP(B11,Data!$B:$Q,15,FALSE),"")</f>
        <v>10</v>
      </c>
      <c r="I11" t="str">
        <f>IF(B11="","",
IF(ROW()-1&lt;=$Z$1,
   INDEX(auditor_2!A$2:A$958,$Z$1-(ROW()-2)),
   INDEX(auditor_1!A$2:A$785,$Z$2-(ROW()-$Z$1-2))
))</f>
        <v>Storage A@A-1@B-1@L-2</v>
      </c>
      <c r="K11">
        <f>IF(AND(F11&lt;&gt;0, B11&lt;&gt;""), MAX($K$1:K10)+1, "")</f>
        <v>8</v>
      </c>
    </row>
    <row r="12" spans="1:34" x14ac:dyDescent="0.25">
      <c r="A12">
        <f t="shared" si="0"/>
        <v>11</v>
      </c>
      <c r="B12" t="str">
        <f>IF(ROW()-1&lt;=$Z$1,
   INDEX(auditor_2!B$2:B$958,$Z$1-(ROW()-2)),
IF(ROW()-1&lt;=$Z$1+$Z$2,
   INDEX(auditor_1!B$2:B$785,$Z$2-(ROW()-$Z$1-2)),
""))</f>
        <v>ITM0001</v>
      </c>
      <c r="C12" t="str">
        <f>IFERROR(VLOOKUP(B12,Data!$B:$Q,16,FALSE),"")</f>
        <v>Item 001</v>
      </c>
      <c r="D12" t="str">
        <f>IFERROR(VLOOKUP(B12,Data!$B:$Q,3,FALSE),"")</f>
        <v>kg</v>
      </c>
      <c r="E12" t="str">
        <f>IF(B12="","",
IF(ROW()-1&lt;=$Z$1,
   INDEX(auditor_2!F$2:F$958,$Z$1-(ROW()-2)),
   INDEX(auditor_1!F$2:F$785,$Z$2-(ROW()-$Z$1-2))
))</f>
        <v>dine</v>
      </c>
      <c r="F12">
        <f>IF(B12="","",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2">
        <f>IF(B12="","",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10</v>
      </c>
      <c r="H12">
        <f>IFERROR(VLOOKUP(B12,Data!$B:$Q,15,FALSE),"")</f>
        <v>10</v>
      </c>
      <c r="I12" t="str">
        <f>IF(B12="","",
IF(ROW()-1&lt;=$Z$1,
   INDEX(auditor_2!A$2:A$958,$Z$1-(ROW()-2)),
   INDEX(auditor_1!A$2:A$785,$Z$2-(ROW()-$Z$1-2))
))</f>
        <v>Storage A@A-1@B-1@L-1</v>
      </c>
      <c r="K12">
        <f>IF(AND(F12&lt;&gt;0, B12&lt;&gt;""), MAX($K$1:K11)+1, "")</f>
        <v>9</v>
      </c>
    </row>
    <row r="13" spans="1:34" x14ac:dyDescent="0.25">
      <c r="A13">
        <f t="shared" si="0"/>
        <v>12</v>
      </c>
      <c r="B13" t="str">
        <f>IF(ROW()-1&lt;=$Z$1,
   INDEX(auditor_2!B$2:B$958,$Z$1-(ROW()-2)),
IF(ROW()-1&lt;=$Z$1+$Z$2,
   INDEX(auditor_1!B$2:B$785,$Z$2-(ROW()-$Z$1-2)),
""))</f>
        <v>ABC1123</v>
      </c>
      <c r="C13" t="str">
        <f>IFERROR(VLOOKUP(B13,Data!$B:$Q,16,FALSE),"")</f>
        <v/>
      </c>
      <c r="D13" t="str">
        <f>IFERROR(VLOOKUP(B13,Data!$B:$Q,3,FALSE),"")</f>
        <v/>
      </c>
      <c r="E13" t="str">
        <f>IF(B13="","",
IF(ROW()-1&lt;=$Z$1,
   INDEX(auditor_2!F$2:F$958,$Z$1-(ROW()-2)),
   INDEX(auditor_1!F$2:F$785,$Z$2-(ROW()-$Z$1-2))
))</f>
        <v>dine</v>
      </c>
      <c r="F13">
        <f>IF(B13="","",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3">
        <f>IF(B13="","",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3" t="str">
        <f>IFERROR(VLOOKUP(B13,Data!$B:$Q,15,FALSE),"")</f>
        <v/>
      </c>
      <c r="I13" t="str">
        <f>IF(B13="","",
IF(ROW()-1&lt;=$Z$1,
   INDEX(auditor_2!A$2:A$958,$Z$1-(ROW()-2)),
   INDEX(auditor_1!A$2:A$785,$Z$2-(ROW()-$Z$1-2))
))</f>
        <v>Storage A@A-2@B-3@L-3</v>
      </c>
      <c r="K13">
        <f>IF(AND(F13&lt;&gt;0, B13&lt;&gt;""), MAX($K$1:K12)+1, "")</f>
        <v>10</v>
      </c>
    </row>
    <row r="14" spans="1:34" x14ac:dyDescent="0.25">
      <c r="A14" t="str">
        <f t="shared" si="0"/>
        <v/>
      </c>
      <c r="B14" t="str">
        <f>IF(ROW()-1&lt;=$Z$1,
   INDEX(auditor_2!B$2:B$958,$Z$1-(ROW()-2)),
IF(ROW()-1&lt;=$Z$1+$Z$2,
   INDEX(auditor_1!B$2:B$785,$Z$2-(ROW()-$Z$1-2)),
""))</f>
        <v/>
      </c>
      <c r="C14" t="str">
        <f>IFERROR(VLOOKUP(B14,Data!$B:$Q,16,FALSE),"")</f>
        <v/>
      </c>
      <c r="D14" t="str">
        <f>IFERROR(VLOOKUP(B14,Data!$B:$Q,3,FALSE),"")</f>
        <v/>
      </c>
      <c r="E14" t="str">
        <f>IF(B14="","",
IF(ROW()-1&lt;=$Z$1,
   INDEX(auditor_2!F$2:F$958,$Z$1-(ROW()-2)),
   INDEX(auditor_1!F$2:F$785,$Z$2-(ROW()-$Z$1-2))
))</f>
        <v/>
      </c>
      <c r="F14" t="str">
        <f>IF(B14="","",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" t="str">
        <f>IF(B14="","",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" t="str">
        <f>IFERROR(VLOOKUP(B14,Data!$B:$Q,15,FALSE),"")</f>
        <v/>
      </c>
      <c r="I14" t="str">
        <f>IF(B14="","",
IF(ROW()-1&lt;=$Z$1,
   INDEX(auditor_2!A$2:A$958,$Z$1-(ROW()-2)),
   INDEX(auditor_1!A$2:A$785,$Z$2-(ROW()-$Z$1-2))
))</f>
        <v/>
      </c>
      <c r="K14" t="str">
        <f>IF(AND(F14&lt;&gt;0, B14&lt;&gt;""), MAX($K$1:K13)+1, "")</f>
        <v/>
      </c>
    </row>
    <row r="15" spans="1:34" x14ac:dyDescent="0.25">
      <c r="A15" t="str">
        <f t="shared" si="0"/>
        <v/>
      </c>
      <c r="B15" t="str">
        <f>IF(ROW()-1&lt;=$Z$1,
   INDEX(auditor_2!B$2:B$958,$Z$1-(ROW()-2)),
IF(ROW()-1&lt;=$Z$1+$Z$2,
   INDEX(auditor_1!B$2:B$785,$Z$2-(ROW()-$Z$1-2)),
""))</f>
        <v/>
      </c>
      <c r="C15" t="str">
        <f>IFERROR(VLOOKUP(B15,Data!$B:$Q,16,FALSE),"")</f>
        <v/>
      </c>
      <c r="D15" t="str">
        <f>IFERROR(VLOOKUP(B15,Data!$B:$Q,3,FALSE),"")</f>
        <v/>
      </c>
      <c r="E15" t="str">
        <f>IF(B15="","",
IF(ROW()-1&lt;=$Z$1,
   INDEX(auditor_2!F$2:F$958,$Z$1-(ROW()-2)),
   INDEX(auditor_1!F$2:F$785,$Z$2-(ROW()-$Z$1-2))
))</f>
        <v/>
      </c>
      <c r="F15" t="str">
        <f>IF(B15="","",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" t="str">
        <f>IF(B15="","",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" t="str">
        <f>IFERROR(VLOOKUP(B15,Data!$B:$Q,15,FALSE),"")</f>
        <v/>
      </c>
      <c r="I15" t="str">
        <f>IF(B15="","",
IF(ROW()-1&lt;=$Z$1,
   INDEX(auditor_2!A$2:A$958,$Z$1-(ROW()-2)),
   INDEX(auditor_1!A$2:A$785,$Z$2-(ROW()-$Z$1-2))
))</f>
        <v/>
      </c>
      <c r="K15" t="str">
        <f>IF(AND(F15&lt;&gt;0, B15&lt;&gt;""), MAX($K$1:K14)+1, "")</f>
        <v/>
      </c>
    </row>
    <row r="16" spans="1:34" x14ac:dyDescent="0.25">
      <c r="A16" t="str">
        <f t="shared" si="0"/>
        <v/>
      </c>
      <c r="B16" t="str">
        <f>IF(ROW()-1&lt;=$Z$1,
   INDEX(auditor_2!B$2:B$958,$Z$1-(ROW()-2)),
IF(ROW()-1&lt;=$Z$1+$Z$2,
   INDEX(auditor_1!B$2:B$785,$Z$2-(ROW()-$Z$1-2)),
""))</f>
        <v/>
      </c>
      <c r="C16" t="str">
        <f>IFERROR(VLOOKUP(B16,Data!$B:$Q,16,FALSE),"")</f>
        <v/>
      </c>
      <c r="D16" t="str">
        <f>IFERROR(VLOOKUP(B16,Data!$B:$Q,3,FALSE),"")</f>
        <v/>
      </c>
      <c r="E16" t="str">
        <f>IF(B16="","",
IF(ROW()-1&lt;=$Z$1,
   INDEX(auditor_2!F$2:F$958,$Z$1-(ROW()-2)),
   INDEX(auditor_1!F$2:F$785,$Z$2-(ROW()-$Z$1-2))
))</f>
        <v/>
      </c>
      <c r="F16" t="str">
        <f>IF(B16="","",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" t="str">
        <f>IF(B16="","",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" t="str">
        <f>IFERROR(VLOOKUP(B16,Data!$B:$Q,15,FALSE),"")</f>
        <v/>
      </c>
      <c r="I16" t="str">
        <f>IF(B16="","",
IF(ROW()-1&lt;=$Z$1,
   INDEX(auditor_2!A$2:A$958,$Z$1-(ROW()-2)),
   INDEX(auditor_1!A$2:A$785,$Z$2-(ROW()-$Z$1-2))
))</f>
        <v/>
      </c>
      <c r="K16" t="str">
        <f>IF(AND(F16&lt;&gt;0, B16&lt;&gt;""), MAX($K$1:K15)+1, "")</f>
        <v/>
      </c>
    </row>
    <row r="17" spans="1:11" x14ac:dyDescent="0.25">
      <c r="A17" t="str">
        <f t="shared" si="0"/>
        <v/>
      </c>
      <c r="B17" t="str">
        <f>IF(ROW()-1&lt;=$Z$1,
   INDEX(auditor_2!B$2:B$958,$Z$1-(ROW()-2)),
IF(ROW()-1&lt;=$Z$1+$Z$2,
   INDEX(auditor_1!B$2:B$785,$Z$2-(ROW()-$Z$1-2)),
""))</f>
        <v/>
      </c>
      <c r="C17" t="str">
        <f>IFERROR(VLOOKUP(B17,Data!$B:$Q,16,FALSE),"")</f>
        <v/>
      </c>
      <c r="D17" t="str">
        <f>IFERROR(VLOOKUP(B17,Data!$B:$Q,3,FALSE),"")</f>
        <v/>
      </c>
      <c r="E17" t="str">
        <f>IF(B17="","",
IF(ROW()-1&lt;=$Z$1,
   INDEX(auditor_2!F$2:F$958,$Z$1-(ROW()-2)),
   INDEX(auditor_1!F$2:F$785,$Z$2-(ROW()-$Z$1-2))
))</f>
        <v/>
      </c>
      <c r="F17" t="str">
        <f>IF(B17="","",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7" t="str">
        <f>IF(B17="","",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7" t="str">
        <f>IFERROR(VLOOKUP(B17,Data!$B:$Q,15,FALSE),"")</f>
        <v/>
      </c>
      <c r="I17" t="str">
        <f>IF(B17="","",
IF(ROW()-1&lt;=$Z$1,
   INDEX(auditor_2!A$2:A$958,$Z$1-(ROW()-2)),
   INDEX(auditor_1!A$2:A$785,$Z$2-(ROW()-$Z$1-2))
))</f>
        <v/>
      </c>
      <c r="K17" t="str">
        <f>IF(AND(F17&lt;&gt;0, B17&lt;&gt;""), MAX($K$1:K16)+1, "")</f>
        <v/>
      </c>
    </row>
    <row r="18" spans="1:11" x14ac:dyDescent="0.25">
      <c r="A18" t="str">
        <f t="shared" si="0"/>
        <v/>
      </c>
      <c r="B18" t="str">
        <f>IF(ROW()-1&lt;=$Z$1,
   INDEX(auditor_2!B$2:B$958,$Z$1-(ROW()-2)),
IF(ROW()-1&lt;=$Z$1+$Z$2,
   INDEX(auditor_1!B$2:B$785,$Z$2-(ROW()-$Z$1-2)),
""))</f>
        <v/>
      </c>
      <c r="C18" t="str">
        <f>IFERROR(VLOOKUP(B18,Data!$B:$Q,16,FALSE),"")</f>
        <v/>
      </c>
      <c r="D18" t="str">
        <f>IFERROR(VLOOKUP(B18,Data!$B:$Q,3,FALSE),"")</f>
        <v/>
      </c>
      <c r="E18" t="str">
        <f>IF(B18="","",
IF(ROW()-1&lt;=$Z$1,
   INDEX(auditor_2!F$2:F$958,$Z$1-(ROW()-2)),
   INDEX(auditor_1!F$2:F$785,$Z$2-(ROW()-$Z$1-2))
))</f>
        <v/>
      </c>
      <c r="F18" t="str">
        <f>IF(B18="","",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8" t="str">
        <f>IF(B18="","",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8" t="str">
        <f>IFERROR(VLOOKUP(B18,Data!$B:$Q,15,FALSE),"")</f>
        <v/>
      </c>
      <c r="I18" t="str">
        <f>IF(B18="","",
IF(ROW()-1&lt;=$Z$1,
   INDEX(auditor_2!A$2:A$958,$Z$1-(ROW()-2)),
   INDEX(auditor_1!A$2:A$785,$Z$2-(ROW()-$Z$1-2))
))</f>
        <v/>
      </c>
      <c r="K18" t="str">
        <f>IF(AND(F18&lt;&gt;0, B18&lt;&gt;""), MAX($K$1:K17)+1, "")</f>
        <v/>
      </c>
    </row>
    <row r="19" spans="1:11" x14ac:dyDescent="0.25">
      <c r="A19" t="str">
        <f t="shared" si="0"/>
        <v/>
      </c>
      <c r="B19" t="str">
        <f>IF(ROW()-1&lt;=$Z$1,
   INDEX(auditor_2!B$2:B$958,$Z$1-(ROW()-2)),
IF(ROW()-1&lt;=$Z$1+$Z$2,
   INDEX(auditor_1!B$2:B$785,$Z$2-(ROW()-$Z$1-2)),
""))</f>
        <v/>
      </c>
      <c r="C19" t="str">
        <f>IFERROR(VLOOKUP(B19,Data!$B:$Q,16,FALSE),"")</f>
        <v/>
      </c>
      <c r="D19" t="str">
        <f>IFERROR(VLOOKUP(B19,Data!$B:$Q,3,FALSE),"")</f>
        <v/>
      </c>
      <c r="E19" t="str">
        <f>IF(B19="","",
IF(ROW()-1&lt;=$Z$1,
   INDEX(auditor_2!F$2:F$958,$Z$1-(ROW()-2)),
   INDEX(auditor_1!F$2:F$785,$Z$2-(ROW()-$Z$1-2))
))</f>
        <v/>
      </c>
      <c r="F19" t="str">
        <f>IF(B19="","",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9" t="str">
        <f>IF(B19="","",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9" t="str">
        <f>IFERROR(VLOOKUP(B19,Data!$B:$Q,15,FALSE),"")</f>
        <v/>
      </c>
      <c r="I19" t="str">
        <f>IF(B19="","",
IF(ROW()-1&lt;=$Z$1,
   INDEX(auditor_2!A$2:A$958,$Z$1-(ROW()-2)),
   INDEX(auditor_1!A$2:A$785,$Z$2-(ROW()-$Z$1-2))
))</f>
        <v/>
      </c>
      <c r="K19" t="str">
        <f>IF(AND(F19&lt;&gt;0, B19&lt;&gt;""), MAX($K$1:K18)+1, "")</f>
        <v/>
      </c>
    </row>
    <row r="20" spans="1:11" x14ac:dyDescent="0.25">
      <c r="A20" t="str">
        <f t="shared" si="0"/>
        <v/>
      </c>
      <c r="B20" t="str">
        <f>IF(ROW()-1&lt;=$Z$1,
   INDEX(auditor_2!B$2:B$958,$Z$1-(ROW()-2)),
IF(ROW()-1&lt;=$Z$1+$Z$2,
   INDEX(auditor_1!B$2:B$785,$Z$2-(ROW()-$Z$1-2)),
""))</f>
        <v/>
      </c>
      <c r="C20" t="str">
        <f>IFERROR(VLOOKUP(B20,Data!$B:$Q,16,FALSE),"")</f>
        <v/>
      </c>
      <c r="D20" t="str">
        <f>IFERROR(VLOOKUP(B20,Data!$B:$Q,3,FALSE),"")</f>
        <v/>
      </c>
      <c r="E20" t="str">
        <f>IF(B20="","",
IF(ROW()-1&lt;=$Z$1,
   INDEX(auditor_2!F$2:F$958,$Z$1-(ROW()-2)),
   INDEX(auditor_1!F$2:F$785,$Z$2-(ROW()-$Z$1-2))
))</f>
        <v/>
      </c>
      <c r="F20" t="str">
        <f>IF(B20="","",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0" t="str">
        <f>IF(B20="","",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0" t="str">
        <f>IFERROR(VLOOKUP(B20,Data!$B:$Q,15,FALSE),"")</f>
        <v/>
      </c>
      <c r="I20" t="str">
        <f>IF(B20="","",
IF(ROW()-1&lt;=$Z$1,
   INDEX(auditor_2!A$2:A$958,$Z$1-(ROW()-2)),
   INDEX(auditor_1!A$2:A$785,$Z$2-(ROW()-$Z$1-2))
))</f>
        <v/>
      </c>
      <c r="K20" t="str">
        <f>IF(AND(F20&lt;&gt;0, B20&lt;&gt;""), MAX($K$1:K19)+1, "")</f>
        <v/>
      </c>
    </row>
    <row r="21" spans="1:11" x14ac:dyDescent="0.25">
      <c r="A21" t="str">
        <f t="shared" si="0"/>
        <v/>
      </c>
      <c r="B21" t="str">
        <f>IF(ROW()-1&lt;=$Z$1,
   INDEX(auditor_2!B$2:B$958,$Z$1-(ROW()-2)),
IF(ROW()-1&lt;=$Z$1+$Z$2,
   INDEX(auditor_1!B$2:B$785,$Z$2-(ROW()-$Z$1-2)),
""))</f>
        <v/>
      </c>
      <c r="C21" t="str">
        <f>IFERROR(VLOOKUP(B21,Data!$B:$Q,16,FALSE),"")</f>
        <v/>
      </c>
      <c r="D21" t="str">
        <f>IFERROR(VLOOKUP(B21,Data!$B:$Q,3,FALSE),"")</f>
        <v/>
      </c>
      <c r="E21" t="str">
        <f>IF(B21="","",
IF(ROW()-1&lt;=$Z$1,
   INDEX(auditor_2!F$2:F$958,$Z$1-(ROW()-2)),
   INDEX(auditor_1!F$2:F$785,$Z$2-(ROW()-$Z$1-2))
))</f>
        <v/>
      </c>
      <c r="F21" t="str">
        <f>IF(B21="","",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1" t="str">
        <f>IF(B21="","",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1" t="str">
        <f>IFERROR(VLOOKUP(B21,Data!$B:$Q,15,FALSE),"")</f>
        <v/>
      </c>
      <c r="I21" t="str">
        <f>IF(B21="","",
IF(ROW()-1&lt;=$Z$1,
   INDEX(auditor_2!A$2:A$958,$Z$1-(ROW()-2)),
   INDEX(auditor_1!A$2:A$785,$Z$2-(ROW()-$Z$1-2))
))</f>
        <v/>
      </c>
      <c r="K21" t="str">
        <f>IF(AND(F21&lt;&gt;0, B21&lt;&gt;""), MAX($K$1:K20)+1, "")</f>
        <v/>
      </c>
    </row>
    <row r="22" spans="1:11" x14ac:dyDescent="0.25">
      <c r="A22" t="str">
        <f t="shared" si="0"/>
        <v/>
      </c>
      <c r="B22" t="str">
        <f>IF(ROW()-1&lt;=$Z$1,
   INDEX(auditor_2!B$2:B$958,$Z$1-(ROW()-2)),
IF(ROW()-1&lt;=$Z$1+$Z$2,
   INDEX(auditor_1!B$2:B$785,$Z$2-(ROW()-$Z$1-2)),
""))</f>
        <v/>
      </c>
      <c r="C22" t="str">
        <f>IFERROR(VLOOKUP(B22,Data!$B:$Q,16,FALSE),"")</f>
        <v/>
      </c>
      <c r="D22" t="str">
        <f>IFERROR(VLOOKUP(B22,Data!$B:$Q,3,FALSE),"")</f>
        <v/>
      </c>
      <c r="E22" t="str">
        <f>IF(B22="","",
IF(ROW()-1&lt;=$Z$1,
   INDEX(auditor_2!F$2:F$958,$Z$1-(ROW()-2)),
   INDEX(auditor_1!F$2:F$785,$Z$2-(ROW()-$Z$1-2))
))</f>
        <v/>
      </c>
      <c r="F22" t="str">
        <f>IF(B22="","",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2" t="str">
        <f>IF(B22="","",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2" t="str">
        <f>IFERROR(VLOOKUP(B22,Data!$B:$Q,15,FALSE),"")</f>
        <v/>
      </c>
      <c r="I22" t="str">
        <f>IF(B22="","",
IF(ROW()-1&lt;=$Z$1,
   INDEX(auditor_2!A$2:A$958,$Z$1-(ROW()-2)),
   INDEX(auditor_1!A$2:A$785,$Z$2-(ROW()-$Z$1-2))
))</f>
        <v/>
      </c>
      <c r="K22" t="str">
        <f>IF(AND(F22&lt;&gt;0, B22&lt;&gt;""), MAX($K$1:K21)+1, "")</f>
        <v/>
      </c>
    </row>
    <row r="23" spans="1:11" x14ac:dyDescent="0.25">
      <c r="A23" t="str">
        <f t="shared" si="0"/>
        <v/>
      </c>
      <c r="B23" t="str">
        <f>IF(ROW()-1&lt;=$Z$1,
   INDEX(auditor_2!B$2:B$958,$Z$1-(ROW()-2)),
IF(ROW()-1&lt;=$Z$1+$Z$2,
   INDEX(auditor_1!B$2:B$785,$Z$2-(ROW()-$Z$1-2)),
""))</f>
        <v/>
      </c>
      <c r="C23" t="str">
        <f>IFERROR(VLOOKUP(B23,Data!$B:$Q,16,FALSE),"")</f>
        <v/>
      </c>
      <c r="D23" t="str">
        <f>IFERROR(VLOOKUP(B23,Data!$B:$Q,3,FALSE),"")</f>
        <v/>
      </c>
      <c r="E23" t="str">
        <f>IF(B23="","",
IF(ROW()-1&lt;=$Z$1,
   INDEX(auditor_2!F$2:F$958,$Z$1-(ROW()-2)),
   INDEX(auditor_1!F$2:F$785,$Z$2-(ROW()-$Z$1-2))
))</f>
        <v/>
      </c>
      <c r="F23" t="str">
        <f>IF(B23="","",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3" t="str">
        <f>IF(B23="","",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3" t="str">
        <f>IFERROR(VLOOKUP(B23,Data!$B:$Q,15,FALSE),"")</f>
        <v/>
      </c>
      <c r="I23" t="str">
        <f>IF(B23="","",
IF(ROW()-1&lt;=$Z$1,
   INDEX(auditor_2!A$2:A$958,$Z$1-(ROW()-2)),
   INDEX(auditor_1!A$2:A$785,$Z$2-(ROW()-$Z$1-2))
))</f>
        <v/>
      </c>
      <c r="K23" t="str">
        <f>IF(AND(F23&lt;&gt;0, B23&lt;&gt;""), MAX($K$1:K22)+1, "")</f>
        <v/>
      </c>
    </row>
    <row r="24" spans="1:11" x14ac:dyDescent="0.25">
      <c r="A24" t="str">
        <f t="shared" si="0"/>
        <v/>
      </c>
      <c r="B24" t="str">
        <f>IF(ROW()-1&lt;=$Z$1,
   INDEX(auditor_2!B$2:B$958,$Z$1-(ROW()-2)),
IF(ROW()-1&lt;=$Z$1+$Z$2,
   INDEX(auditor_1!B$2:B$785,$Z$2-(ROW()-$Z$1-2)),
""))</f>
        <v/>
      </c>
      <c r="C24" t="str">
        <f>IFERROR(VLOOKUP(B24,Data!$B:$Q,16,FALSE),"")</f>
        <v/>
      </c>
      <c r="D24" t="str">
        <f>IFERROR(VLOOKUP(B24,Data!$B:$Q,3,FALSE),"")</f>
        <v/>
      </c>
      <c r="E24" t="str">
        <f>IF(B24="","",
IF(ROW()-1&lt;=$Z$1,
   INDEX(auditor_2!F$2:F$958,$Z$1-(ROW()-2)),
   INDEX(auditor_1!F$2:F$785,$Z$2-(ROW()-$Z$1-2))
))</f>
        <v/>
      </c>
      <c r="F24" t="str">
        <f>IF(B24="","",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4" t="str">
        <f>IF(B24="","",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4" t="str">
        <f>IFERROR(VLOOKUP(B24,Data!$B:$Q,15,FALSE),"")</f>
        <v/>
      </c>
      <c r="I24" t="str">
        <f>IF(B24="","",
IF(ROW()-1&lt;=$Z$1,
   INDEX(auditor_2!A$2:A$958,$Z$1-(ROW()-2)),
   INDEX(auditor_1!A$2:A$785,$Z$2-(ROW()-$Z$1-2))
))</f>
        <v/>
      </c>
      <c r="K24" t="str">
        <f>IF(AND(F24&lt;&gt;0, B24&lt;&gt;""), MAX($K$1:K23)+1, "")</f>
        <v/>
      </c>
    </row>
    <row r="25" spans="1:11" x14ac:dyDescent="0.25">
      <c r="A25" t="str">
        <f t="shared" si="0"/>
        <v/>
      </c>
      <c r="B25" t="str">
        <f>IF(ROW()-1&lt;=$Z$1,
   INDEX(auditor_2!B$2:B$958,$Z$1-(ROW()-2)),
IF(ROW()-1&lt;=$Z$1+$Z$2,
   INDEX(auditor_1!B$2:B$785,$Z$2-(ROW()-$Z$1-2)),
""))</f>
        <v/>
      </c>
      <c r="C25" t="str">
        <f>IFERROR(VLOOKUP(B25,Data!$B:$Q,16,FALSE),"")</f>
        <v/>
      </c>
      <c r="D25" t="str">
        <f>IFERROR(VLOOKUP(B25,Data!$B:$Q,3,FALSE),"")</f>
        <v/>
      </c>
      <c r="E25" t="str">
        <f>IF(B25="","",
IF(ROW()-1&lt;=$Z$1,
   INDEX(auditor_2!F$2:F$958,$Z$1-(ROW()-2)),
   INDEX(auditor_1!F$2:F$785,$Z$2-(ROW()-$Z$1-2))
))</f>
        <v/>
      </c>
      <c r="F25" t="str">
        <f>IF(B25="","",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5" t="str">
        <f>IF(B25="","",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5" t="str">
        <f>IFERROR(VLOOKUP(B25,Data!$B:$Q,15,FALSE),"")</f>
        <v/>
      </c>
      <c r="I25" t="str">
        <f>IF(B25="","",
IF(ROW()-1&lt;=$Z$1,
   INDEX(auditor_2!A$2:A$958,$Z$1-(ROW()-2)),
   INDEX(auditor_1!A$2:A$785,$Z$2-(ROW()-$Z$1-2))
))</f>
        <v/>
      </c>
      <c r="K25" t="str">
        <f>IF(AND(F25&lt;&gt;0, B25&lt;&gt;""), MAX($K$1:K24)+1, "")</f>
        <v/>
      </c>
    </row>
    <row r="26" spans="1:11" x14ac:dyDescent="0.25">
      <c r="A26" t="str">
        <f t="shared" si="0"/>
        <v/>
      </c>
      <c r="B26" t="str">
        <f>IF(ROW()-1&lt;=$Z$1,
   INDEX(auditor_2!B$2:B$958,$Z$1-(ROW()-2)),
IF(ROW()-1&lt;=$Z$1+$Z$2,
   INDEX(auditor_1!B$2:B$785,$Z$2-(ROW()-$Z$1-2)),
""))</f>
        <v/>
      </c>
      <c r="C26" t="str">
        <f>IFERROR(VLOOKUP(B26,Data!$B:$Q,16,FALSE),"")</f>
        <v/>
      </c>
      <c r="D26" t="str">
        <f>IFERROR(VLOOKUP(B26,Data!$B:$Q,3,FALSE),"")</f>
        <v/>
      </c>
      <c r="E26" t="str">
        <f>IF(B26="","",
IF(ROW()-1&lt;=$Z$1,
   INDEX(auditor_2!F$2:F$958,$Z$1-(ROW()-2)),
   INDEX(auditor_1!F$2:F$785,$Z$2-(ROW()-$Z$1-2))
))</f>
        <v/>
      </c>
      <c r="F26" t="str">
        <f>IF(B26="","",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6" t="str">
        <f>IF(B26="","",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6" t="str">
        <f>IFERROR(VLOOKUP(B26,Data!$B:$Q,15,FALSE),"")</f>
        <v/>
      </c>
      <c r="I26" t="str">
        <f>IF(B26="","",
IF(ROW()-1&lt;=$Z$1,
   INDEX(auditor_2!A$2:A$958,$Z$1-(ROW()-2)),
   INDEX(auditor_1!A$2:A$785,$Z$2-(ROW()-$Z$1-2))
))</f>
        <v/>
      </c>
      <c r="K26" t="str">
        <f>IF(AND(F26&lt;&gt;0, B26&lt;&gt;""), MAX($K$1:K25)+1, "")</f>
        <v/>
      </c>
    </row>
    <row r="27" spans="1:11" x14ac:dyDescent="0.25">
      <c r="A27" t="str">
        <f t="shared" si="0"/>
        <v/>
      </c>
      <c r="B27" t="str">
        <f>IF(ROW()-1&lt;=$Z$1,
   INDEX(auditor_2!B$2:B$958,$Z$1-(ROW()-2)),
IF(ROW()-1&lt;=$Z$1+$Z$2,
   INDEX(auditor_1!B$2:B$785,$Z$2-(ROW()-$Z$1-2)),
""))</f>
        <v/>
      </c>
      <c r="C27" t="str">
        <f>IFERROR(VLOOKUP(B27,Data!$B:$Q,16,FALSE),"")</f>
        <v/>
      </c>
      <c r="D27" t="str">
        <f>IFERROR(VLOOKUP(B27,Data!$B:$Q,3,FALSE),"")</f>
        <v/>
      </c>
      <c r="E27" t="str">
        <f>IF(B27="","",
IF(ROW()-1&lt;=$Z$1,
   INDEX(auditor_2!F$2:F$958,$Z$1-(ROW()-2)),
   INDEX(auditor_1!F$2:F$785,$Z$2-(ROW()-$Z$1-2))
))</f>
        <v/>
      </c>
      <c r="F27" t="str">
        <f>IF(B27="","",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7" t="str">
        <f>IF(B27="","",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7" t="str">
        <f>IFERROR(VLOOKUP(B27,Data!$B:$Q,15,FALSE),"")</f>
        <v/>
      </c>
      <c r="I27" t="str">
        <f>IF(B27="","",
IF(ROW()-1&lt;=$Z$1,
   INDEX(auditor_2!A$2:A$958,$Z$1-(ROW()-2)),
   INDEX(auditor_1!A$2:A$785,$Z$2-(ROW()-$Z$1-2))
))</f>
        <v/>
      </c>
      <c r="K27" t="str">
        <f>IF(AND(F27&lt;&gt;0, B27&lt;&gt;""), MAX($K$1:K26)+1, "")</f>
        <v/>
      </c>
    </row>
    <row r="28" spans="1:11" x14ac:dyDescent="0.25">
      <c r="A28" t="str">
        <f t="shared" si="0"/>
        <v/>
      </c>
      <c r="B28" t="str">
        <f>IF(ROW()-1&lt;=$Z$1,
   INDEX(auditor_2!B$2:B$958,$Z$1-(ROW()-2)),
IF(ROW()-1&lt;=$Z$1+$Z$2,
   INDEX(auditor_1!B$2:B$785,$Z$2-(ROW()-$Z$1-2)),
""))</f>
        <v/>
      </c>
      <c r="C28" t="str">
        <f>IFERROR(VLOOKUP(B28,Data!$B:$Q,16,FALSE),"")</f>
        <v/>
      </c>
      <c r="D28" t="str">
        <f>IFERROR(VLOOKUP(B28,Data!$B:$Q,3,FALSE),"")</f>
        <v/>
      </c>
      <c r="E28" t="str">
        <f>IF(B28="","",
IF(ROW()-1&lt;=$Z$1,
   INDEX(auditor_2!F$2:F$958,$Z$1-(ROW()-2)),
   INDEX(auditor_1!F$2:F$785,$Z$2-(ROW()-$Z$1-2))
))</f>
        <v/>
      </c>
      <c r="F28" t="str">
        <f>IF(B28="","",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8" t="str">
        <f>IF(B28="","",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8" t="str">
        <f>IFERROR(VLOOKUP(B28,Data!$B:$Q,15,FALSE),"")</f>
        <v/>
      </c>
      <c r="I28" t="str">
        <f>IF(B28="","",
IF(ROW()-1&lt;=$Z$1,
   INDEX(auditor_2!A$2:A$958,$Z$1-(ROW()-2)),
   INDEX(auditor_1!A$2:A$785,$Z$2-(ROW()-$Z$1-2))
))</f>
        <v/>
      </c>
      <c r="K28" t="str">
        <f>IF(AND(F28&lt;&gt;0, B28&lt;&gt;""), MAX($K$1:K27)+1, "")</f>
        <v/>
      </c>
    </row>
    <row r="29" spans="1:11" x14ac:dyDescent="0.25">
      <c r="A29" t="str">
        <f t="shared" si="0"/>
        <v/>
      </c>
      <c r="B29" t="str">
        <f>IF(ROW()-1&lt;=$Z$1,
   INDEX(auditor_2!B$2:B$958,$Z$1-(ROW()-2)),
IF(ROW()-1&lt;=$Z$1+$Z$2,
   INDEX(auditor_1!B$2:B$785,$Z$2-(ROW()-$Z$1-2)),
""))</f>
        <v/>
      </c>
      <c r="C29" t="str">
        <f>IFERROR(VLOOKUP(B29,Data!$B:$Q,16,FALSE),"")</f>
        <v/>
      </c>
      <c r="D29" t="str">
        <f>IFERROR(VLOOKUP(B29,Data!$B:$Q,3,FALSE),"")</f>
        <v/>
      </c>
      <c r="E29" t="str">
        <f>IF(B29="","",
IF(ROW()-1&lt;=$Z$1,
   INDEX(auditor_2!F$2:F$958,$Z$1-(ROW()-2)),
   INDEX(auditor_1!F$2:F$785,$Z$2-(ROW()-$Z$1-2))
))</f>
        <v/>
      </c>
      <c r="F29" t="str">
        <f>IF(B29="","",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9" t="str">
        <f>IF(B29="","",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9" t="str">
        <f>IFERROR(VLOOKUP(B29,Data!$B:$Q,15,FALSE),"")</f>
        <v/>
      </c>
      <c r="I29" t="str">
        <f>IF(B29="","",
IF(ROW()-1&lt;=$Z$1,
   INDEX(auditor_2!A$2:A$958,$Z$1-(ROW()-2)),
   INDEX(auditor_1!A$2:A$785,$Z$2-(ROW()-$Z$1-2))
))</f>
        <v/>
      </c>
      <c r="K29" t="str">
        <f>IF(AND(F29&lt;&gt;0, B29&lt;&gt;""), MAX($K$1:K28)+1, "")</f>
        <v/>
      </c>
    </row>
    <row r="30" spans="1:11" x14ac:dyDescent="0.25">
      <c r="A30" t="str">
        <f t="shared" si="0"/>
        <v/>
      </c>
      <c r="B30" t="str">
        <f>IF(ROW()-1&lt;=$Z$1,
   INDEX(auditor_2!B$2:B$958,$Z$1-(ROW()-2)),
IF(ROW()-1&lt;=$Z$1+$Z$2,
   INDEX(auditor_1!B$2:B$785,$Z$2-(ROW()-$Z$1-2)),
""))</f>
        <v/>
      </c>
      <c r="C30" t="str">
        <f>IFERROR(VLOOKUP(B30,Data!$B:$Q,16,FALSE),"")</f>
        <v/>
      </c>
      <c r="D30" t="str">
        <f>IFERROR(VLOOKUP(B30,Data!$B:$Q,3,FALSE),"")</f>
        <v/>
      </c>
      <c r="E30" t="str">
        <f>IF(B30="","",
IF(ROW()-1&lt;=$Z$1,
   INDEX(auditor_2!F$2:F$958,$Z$1-(ROW()-2)),
   INDEX(auditor_1!F$2:F$785,$Z$2-(ROW()-$Z$1-2))
))</f>
        <v/>
      </c>
      <c r="F30" t="str">
        <f>IF(B30="","",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0" t="str">
        <f>IF(B30="","",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0" t="str">
        <f>IFERROR(VLOOKUP(B30,Data!$B:$Q,15,FALSE),"")</f>
        <v/>
      </c>
      <c r="I30" t="str">
        <f>IF(B30="","",
IF(ROW()-1&lt;=$Z$1,
   INDEX(auditor_2!A$2:A$958,$Z$1-(ROW()-2)),
   INDEX(auditor_1!A$2:A$785,$Z$2-(ROW()-$Z$1-2))
))</f>
        <v/>
      </c>
      <c r="K30" t="str">
        <f>IF(AND(F30&lt;&gt;0, B30&lt;&gt;""), MAX($K$1:K29)+1, "")</f>
        <v/>
      </c>
    </row>
    <row r="31" spans="1:11" x14ac:dyDescent="0.25">
      <c r="A31" t="str">
        <f t="shared" si="0"/>
        <v/>
      </c>
      <c r="B31" t="str">
        <f>IF(ROW()-1&lt;=$Z$1,
   INDEX(auditor_2!B$2:B$958,$Z$1-(ROW()-2)),
IF(ROW()-1&lt;=$Z$1+$Z$2,
   INDEX(auditor_1!B$2:B$785,$Z$2-(ROW()-$Z$1-2)),
""))</f>
        <v/>
      </c>
      <c r="C31" t="str">
        <f>IFERROR(VLOOKUP(B31,Data!$B:$Q,16,FALSE),"")</f>
        <v/>
      </c>
      <c r="D31" t="str">
        <f>IFERROR(VLOOKUP(B31,Data!$B:$Q,3,FALSE),"")</f>
        <v/>
      </c>
      <c r="E31" t="str">
        <f>IF(B31="","",
IF(ROW()-1&lt;=$Z$1,
   INDEX(auditor_2!F$2:F$958,$Z$1-(ROW()-2)),
   INDEX(auditor_1!F$2:F$785,$Z$2-(ROW()-$Z$1-2))
))</f>
        <v/>
      </c>
      <c r="F31" t="str">
        <f>IF(B31="","",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1" t="str">
        <f>IF(B31="","",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1" t="str">
        <f>IFERROR(VLOOKUP(B31,Data!$B:$Q,15,FALSE),"")</f>
        <v/>
      </c>
      <c r="I31" t="str">
        <f>IF(B31="","",
IF(ROW()-1&lt;=$Z$1,
   INDEX(auditor_2!A$2:A$958,$Z$1-(ROW()-2)),
   INDEX(auditor_1!A$2:A$785,$Z$2-(ROW()-$Z$1-2))
))</f>
        <v/>
      </c>
      <c r="K31" t="str">
        <f>IF(AND(F31&lt;&gt;0, B31&lt;&gt;""), MAX($K$1:K30)+1, "")</f>
        <v/>
      </c>
    </row>
    <row r="32" spans="1:11" x14ac:dyDescent="0.25">
      <c r="A32" t="str">
        <f t="shared" si="0"/>
        <v/>
      </c>
      <c r="B32" t="str">
        <f>IF(ROW()-1&lt;=$Z$1,
   INDEX(auditor_2!B$2:B$958,$Z$1-(ROW()-2)),
IF(ROW()-1&lt;=$Z$1+$Z$2,
   INDEX(auditor_1!B$2:B$785,$Z$2-(ROW()-$Z$1-2)),
""))</f>
        <v/>
      </c>
      <c r="C32" t="str">
        <f>IFERROR(VLOOKUP(B32,Data!$B:$Q,16,FALSE),"")</f>
        <v/>
      </c>
      <c r="D32" t="str">
        <f>IFERROR(VLOOKUP(B32,Data!$B:$Q,3,FALSE),"")</f>
        <v/>
      </c>
      <c r="E32" t="str">
        <f>IF(B32="","",
IF(ROW()-1&lt;=$Z$1,
   INDEX(auditor_2!F$2:F$958,$Z$1-(ROW()-2)),
   INDEX(auditor_1!F$2:F$785,$Z$2-(ROW()-$Z$1-2))
))</f>
        <v/>
      </c>
      <c r="F32" t="str">
        <f>IF(B32="","",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2" t="str">
        <f>IF(B32="","",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2" t="str">
        <f>IFERROR(VLOOKUP(B32,Data!$B:$Q,15,FALSE),"")</f>
        <v/>
      </c>
      <c r="I32" t="str">
        <f>IF(B32="","",
IF(ROW()-1&lt;=$Z$1,
   INDEX(auditor_2!A$2:A$958,$Z$1-(ROW()-2)),
   INDEX(auditor_1!A$2:A$785,$Z$2-(ROW()-$Z$1-2))
))</f>
        <v/>
      </c>
      <c r="K32" t="str">
        <f>IF(AND(F32&lt;&gt;0, B32&lt;&gt;""), MAX($K$1:K31)+1, "")</f>
        <v/>
      </c>
    </row>
    <row r="33" spans="1:11" x14ac:dyDescent="0.25">
      <c r="A33" t="str">
        <f t="shared" si="0"/>
        <v/>
      </c>
      <c r="B33" t="str">
        <f>IF(ROW()-1&lt;=$Z$1,
   INDEX(auditor_2!B$2:B$958,$Z$1-(ROW()-2)),
IF(ROW()-1&lt;=$Z$1+$Z$2,
   INDEX(auditor_1!B$2:B$785,$Z$2-(ROW()-$Z$1-2)),
""))</f>
        <v/>
      </c>
      <c r="C33" t="str">
        <f>IFERROR(VLOOKUP(B33,Data!$B:$Q,16,FALSE),"")</f>
        <v/>
      </c>
      <c r="D33" t="str">
        <f>IFERROR(VLOOKUP(B33,Data!$B:$Q,3,FALSE),"")</f>
        <v/>
      </c>
      <c r="E33" t="str">
        <f>IF(B33="","",
IF(ROW()-1&lt;=$Z$1,
   INDEX(auditor_2!F$2:F$958,$Z$1-(ROW()-2)),
   INDEX(auditor_1!F$2:F$785,$Z$2-(ROW()-$Z$1-2))
))</f>
        <v/>
      </c>
      <c r="F33" t="str">
        <f>IF(B33="","",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3" t="str">
        <f>IF(B33="","",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3" t="str">
        <f>IFERROR(VLOOKUP(B33,Data!$B:$Q,15,FALSE),"")</f>
        <v/>
      </c>
      <c r="I33" t="str">
        <f>IF(B33="","",
IF(ROW()-1&lt;=$Z$1,
   INDEX(auditor_2!A$2:A$958,$Z$1-(ROW()-2)),
   INDEX(auditor_1!A$2:A$785,$Z$2-(ROW()-$Z$1-2))
))</f>
        <v/>
      </c>
      <c r="K33" t="str">
        <f>IF(AND(F33&lt;&gt;0, B33&lt;&gt;""), MAX($K$1:K32)+1, "")</f>
        <v/>
      </c>
    </row>
    <row r="34" spans="1:11" x14ac:dyDescent="0.25">
      <c r="A34" t="str">
        <f t="shared" si="0"/>
        <v/>
      </c>
      <c r="B34" t="str">
        <f>IF(ROW()-1&lt;=$Z$1,
   INDEX(auditor_2!B$2:B$958,$Z$1-(ROW()-2)),
IF(ROW()-1&lt;=$Z$1+$Z$2,
   INDEX(auditor_1!B$2:B$785,$Z$2-(ROW()-$Z$1-2)),
""))</f>
        <v/>
      </c>
      <c r="C34" t="str">
        <f>IFERROR(VLOOKUP(B34,Data!$B:$Q,16,FALSE),"")</f>
        <v/>
      </c>
      <c r="D34" t="str">
        <f>IFERROR(VLOOKUP(B34,Data!$B:$Q,3,FALSE),"")</f>
        <v/>
      </c>
      <c r="E34" t="str">
        <f>IF(B34="","",
IF(ROW()-1&lt;=$Z$1,
   INDEX(auditor_2!F$2:F$958,$Z$1-(ROW()-2)),
   INDEX(auditor_1!F$2:F$785,$Z$2-(ROW()-$Z$1-2))
))</f>
        <v/>
      </c>
      <c r="F34" t="str">
        <f>IF(B34="","",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4" t="str">
        <f>IF(B34="","",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4" t="str">
        <f>IFERROR(VLOOKUP(B34,Data!$B:$Q,15,FALSE),"")</f>
        <v/>
      </c>
      <c r="I34" t="str">
        <f>IF(B34="","",
IF(ROW()-1&lt;=$Z$1,
   INDEX(auditor_2!A$2:A$958,$Z$1-(ROW()-2)),
   INDEX(auditor_1!A$2:A$785,$Z$2-(ROW()-$Z$1-2))
))</f>
        <v/>
      </c>
      <c r="K34" t="str">
        <f>IF(AND(F34&lt;&gt;0, B34&lt;&gt;""), MAX($K$1:K33)+1, "")</f>
        <v/>
      </c>
    </row>
    <row r="35" spans="1:11" x14ac:dyDescent="0.25">
      <c r="A35" t="str">
        <f t="shared" si="0"/>
        <v/>
      </c>
      <c r="B35" t="str">
        <f>IF(ROW()-1&lt;=$Z$1,
   INDEX(auditor_2!B$2:B$958,$Z$1-(ROW()-2)),
IF(ROW()-1&lt;=$Z$1+$Z$2,
   INDEX(auditor_1!B$2:B$785,$Z$2-(ROW()-$Z$1-2)),
""))</f>
        <v/>
      </c>
      <c r="C35" t="str">
        <f>IFERROR(VLOOKUP(B35,Data!$B:$Q,16,FALSE),"")</f>
        <v/>
      </c>
      <c r="D35" t="str">
        <f>IFERROR(VLOOKUP(B35,Data!$B:$Q,3,FALSE),"")</f>
        <v/>
      </c>
      <c r="E35" t="str">
        <f>IF(B35="","",
IF(ROW()-1&lt;=$Z$1,
   INDEX(auditor_2!F$2:F$958,$Z$1-(ROW()-2)),
   INDEX(auditor_1!F$2:F$785,$Z$2-(ROW()-$Z$1-2))
))</f>
        <v/>
      </c>
      <c r="F35" t="str">
        <f>IF(B35="","",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5" t="str">
        <f>IF(B35="","",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5" t="str">
        <f>IFERROR(VLOOKUP(B35,Data!$B:$Q,15,FALSE),"")</f>
        <v/>
      </c>
      <c r="I35" t="str">
        <f>IF(B35="","",
IF(ROW()-1&lt;=$Z$1,
   INDEX(auditor_2!A$2:A$958,$Z$1-(ROW()-2)),
   INDEX(auditor_1!A$2:A$785,$Z$2-(ROW()-$Z$1-2))
))</f>
        <v/>
      </c>
      <c r="K35" t="str">
        <f>IF(AND(F35&lt;&gt;0, B35&lt;&gt;""), MAX($K$1:K34)+1, "")</f>
        <v/>
      </c>
    </row>
    <row r="36" spans="1:11" x14ac:dyDescent="0.25">
      <c r="A36" t="str">
        <f t="shared" si="0"/>
        <v/>
      </c>
      <c r="B36" t="str">
        <f>IF(ROW()-1&lt;=$Z$1,
   INDEX(auditor_2!B$2:B$958,$Z$1-(ROW()-2)),
IF(ROW()-1&lt;=$Z$1+$Z$2,
   INDEX(auditor_1!B$2:B$785,$Z$2-(ROW()-$Z$1-2)),
""))</f>
        <v/>
      </c>
      <c r="C36" t="str">
        <f>IFERROR(VLOOKUP(B36,Data!$B:$Q,16,FALSE),"")</f>
        <v/>
      </c>
      <c r="D36" t="str">
        <f>IFERROR(VLOOKUP(B36,Data!$B:$Q,3,FALSE),"")</f>
        <v/>
      </c>
      <c r="E36" t="str">
        <f>IF(B36="","",
IF(ROW()-1&lt;=$Z$1,
   INDEX(auditor_2!F$2:F$958,$Z$1-(ROW()-2)),
   INDEX(auditor_1!F$2:F$785,$Z$2-(ROW()-$Z$1-2))
))</f>
        <v/>
      </c>
      <c r="F36" t="str">
        <f>IF(B36="","",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6" t="str">
        <f>IF(B36="","",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6" t="str">
        <f>IFERROR(VLOOKUP(B36,Data!$B:$Q,15,FALSE),"")</f>
        <v/>
      </c>
      <c r="I36" t="str">
        <f>IF(B36="","",
IF(ROW()-1&lt;=$Z$1,
   INDEX(auditor_2!A$2:A$958,$Z$1-(ROW()-2)),
   INDEX(auditor_1!A$2:A$785,$Z$2-(ROW()-$Z$1-2))
))</f>
        <v/>
      </c>
      <c r="K36" t="str">
        <f>IF(AND(F36&lt;&gt;0, B36&lt;&gt;""), MAX($K$1:K35)+1, "")</f>
        <v/>
      </c>
    </row>
    <row r="37" spans="1:11" x14ac:dyDescent="0.25">
      <c r="A37" t="str">
        <f t="shared" si="0"/>
        <v/>
      </c>
      <c r="B37" t="str">
        <f>IF(ROW()-1&lt;=$Z$1,
   INDEX(auditor_2!B$2:B$958,$Z$1-(ROW()-2)),
IF(ROW()-1&lt;=$Z$1+$Z$2,
   INDEX(auditor_1!B$2:B$785,$Z$2-(ROW()-$Z$1-2)),
""))</f>
        <v/>
      </c>
      <c r="C37" t="str">
        <f>IFERROR(VLOOKUP(B37,Data!$B:$Q,16,FALSE),"")</f>
        <v/>
      </c>
      <c r="D37" t="str">
        <f>IFERROR(VLOOKUP(B37,Data!$B:$Q,3,FALSE),"")</f>
        <v/>
      </c>
      <c r="E37" t="str">
        <f>IF(B37="","",
IF(ROW()-1&lt;=$Z$1,
   INDEX(auditor_2!F$2:F$958,$Z$1-(ROW()-2)),
   INDEX(auditor_1!F$2:F$785,$Z$2-(ROW()-$Z$1-2))
))</f>
        <v/>
      </c>
      <c r="F37" t="str">
        <f>IF(B37="","",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7" t="str">
        <f>IF(B37="","",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7" t="str">
        <f>IFERROR(VLOOKUP(B37,Data!$B:$Q,15,FALSE),"")</f>
        <v/>
      </c>
      <c r="I37" t="str">
        <f>IF(B37="","",
IF(ROW()-1&lt;=$Z$1,
   INDEX(auditor_2!A$2:A$958,$Z$1-(ROW()-2)),
   INDEX(auditor_1!A$2:A$785,$Z$2-(ROW()-$Z$1-2))
))</f>
        <v/>
      </c>
      <c r="K37" t="str">
        <f>IF(AND(F37&lt;&gt;0, B37&lt;&gt;""), MAX($K$1:K36)+1, "")</f>
        <v/>
      </c>
    </row>
    <row r="38" spans="1:11" x14ac:dyDescent="0.25">
      <c r="A38" t="str">
        <f t="shared" si="0"/>
        <v/>
      </c>
      <c r="B38" t="str">
        <f>IF(ROW()-1&lt;=$Z$1,
   INDEX(auditor_2!B$2:B$958,$Z$1-(ROW()-2)),
IF(ROW()-1&lt;=$Z$1+$Z$2,
   INDEX(auditor_1!B$2:B$785,$Z$2-(ROW()-$Z$1-2)),
""))</f>
        <v/>
      </c>
      <c r="C38" t="str">
        <f>IFERROR(VLOOKUP(B38,Data!$B:$Q,16,FALSE),"")</f>
        <v/>
      </c>
      <c r="D38" t="str">
        <f>IFERROR(VLOOKUP(B38,Data!$B:$Q,3,FALSE),"")</f>
        <v/>
      </c>
      <c r="E38" t="str">
        <f>IF(B38="","",
IF(ROW()-1&lt;=$Z$1,
   INDEX(auditor_2!F$2:F$958,$Z$1-(ROW()-2)),
   INDEX(auditor_1!F$2:F$785,$Z$2-(ROW()-$Z$1-2))
))</f>
        <v/>
      </c>
      <c r="F38" t="str">
        <f>IF(B38="","",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8" t="str">
        <f>IF(B38="","",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8" t="str">
        <f>IFERROR(VLOOKUP(B38,Data!$B:$Q,15,FALSE),"")</f>
        <v/>
      </c>
      <c r="I38" t="str">
        <f>IF(B38="","",
IF(ROW()-1&lt;=$Z$1,
   INDEX(auditor_2!A$2:A$958,$Z$1-(ROW()-2)),
   INDEX(auditor_1!A$2:A$785,$Z$2-(ROW()-$Z$1-2))
))</f>
        <v/>
      </c>
      <c r="K38" t="str">
        <f>IF(AND(F38&lt;&gt;0, B38&lt;&gt;""), MAX($K$1:K37)+1, "")</f>
        <v/>
      </c>
    </row>
    <row r="39" spans="1:11" x14ac:dyDescent="0.25">
      <c r="A39" t="str">
        <f t="shared" si="0"/>
        <v/>
      </c>
      <c r="B39" t="str">
        <f>IF(ROW()-1&lt;=$Z$1,
   INDEX(auditor_2!B$2:B$958,$Z$1-(ROW()-2)),
IF(ROW()-1&lt;=$Z$1+$Z$2,
   INDEX(auditor_1!B$2:B$785,$Z$2-(ROW()-$Z$1-2)),
""))</f>
        <v/>
      </c>
      <c r="C39" t="str">
        <f>IFERROR(VLOOKUP(B39,Data!$B:$Q,16,FALSE),"")</f>
        <v/>
      </c>
      <c r="D39" t="str">
        <f>IFERROR(VLOOKUP(B39,Data!$B:$Q,3,FALSE),"")</f>
        <v/>
      </c>
      <c r="E39" t="str">
        <f>IF(B39="","",
IF(ROW()-1&lt;=$Z$1,
   INDEX(auditor_2!F$2:F$958,$Z$1-(ROW()-2)),
   INDEX(auditor_1!F$2:F$785,$Z$2-(ROW()-$Z$1-2))
))</f>
        <v/>
      </c>
      <c r="F39" t="str">
        <f>IF(B39="","",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9" t="str">
        <f>IF(B39="","",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9" t="str">
        <f>IFERROR(VLOOKUP(B39,Data!$B:$Q,15,FALSE),"")</f>
        <v/>
      </c>
      <c r="I39" t="str">
        <f>IF(B39="","",
IF(ROW()-1&lt;=$Z$1,
   INDEX(auditor_2!A$2:A$958,$Z$1-(ROW()-2)),
   INDEX(auditor_1!A$2:A$785,$Z$2-(ROW()-$Z$1-2))
))</f>
        <v/>
      </c>
      <c r="K39" t="str">
        <f>IF(AND(F39&lt;&gt;0, B39&lt;&gt;""), MAX($K$1:K38)+1, "")</f>
        <v/>
      </c>
    </row>
    <row r="40" spans="1:11" x14ac:dyDescent="0.25">
      <c r="A40" t="str">
        <f t="shared" si="0"/>
        <v/>
      </c>
      <c r="B40" t="str">
        <f>IF(ROW()-1&lt;=$Z$1,
   INDEX(auditor_2!B$2:B$958,$Z$1-(ROW()-2)),
IF(ROW()-1&lt;=$Z$1+$Z$2,
   INDEX(auditor_1!B$2:B$785,$Z$2-(ROW()-$Z$1-2)),
""))</f>
        <v/>
      </c>
      <c r="C40" t="str">
        <f>IFERROR(VLOOKUP(B40,Data!$B:$Q,16,FALSE),"")</f>
        <v/>
      </c>
      <c r="D40" t="str">
        <f>IFERROR(VLOOKUP(B40,Data!$B:$Q,3,FALSE),"")</f>
        <v/>
      </c>
      <c r="E40" t="str">
        <f>IF(B40="","",
IF(ROW()-1&lt;=$Z$1,
   INDEX(auditor_2!F$2:F$958,$Z$1-(ROW()-2)),
   INDEX(auditor_1!F$2:F$785,$Z$2-(ROW()-$Z$1-2))
))</f>
        <v/>
      </c>
      <c r="F40" t="str">
        <f>IF(B40="","",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0" t="str">
        <f>IF(B40="","",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0" t="str">
        <f>IFERROR(VLOOKUP(B40,Data!$B:$Q,15,FALSE),"")</f>
        <v/>
      </c>
      <c r="I40" t="str">
        <f>IF(B40="","",
IF(ROW()-1&lt;=$Z$1,
   INDEX(auditor_2!A$2:A$958,$Z$1-(ROW()-2)),
   INDEX(auditor_1!A$2:A$785,$Z$2-(ROW()-$Z$1-2))
))</f>
        <v/>
      </c>
      <c r="K40" t="str">
        <f>IF(AND(F40&lt;&gt;0, B40&lt;&gt;""), MAX($K$1:K39)+1, "")</f>
        <v/>
      </c>
    </row>
    <row r="41" spans="1:11" x14ac:dyDescent="0.25">
      <c r="A41" t="str">
        <f t="shared" si="0"/>
        <v/>
      </c>
      <c r="B41" t="str">
        <f>IF(ROW()-1&lt;=$Z$1,
   INDEX(auditor_2!B$2:B$958,$Z$1-(ROW()-2)),
IF(ROW()-1&lt;=$Z$1+$Z$2,
   INDEX(auditor_1!B$2:B$785,$Z$2-(ROW()-$Z$1-2)),
""))</f>
        <v/>
      </c>
      <c r="C41" t="str">
        <f>IFERROR(VLOOKUP(B41,Data!$B:$Q,16,FALSE),"")</f>
        <v/>
      </c>
      <c r="D41" t="str">
        <f>IFERROR(VLOOKUP(B41,Data!$B:$Q,3,FALSE),"")</f>
        <v/>
      </c>
      <c r="E41" t="str">
        <f>IF(B41="","",
IF(ROW()-1&lt;=$Z$1,
   INDEX(auditor_2!F$2:F$958,$Z$1-(ROW()-2)),
   INDEX(auditor_1!F$2:F$785,$Z$2-(ROW()-$Z$1-2))
))</f>
        <v/>
      </c>
      <c r="F41" t="str">
        <f>IF(B41="","",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1" t="str">
        <f>IF(B41="","",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1" t="str">
        <f>IFERROR(VLOOKUP(B41,Data!$B:$Q,15,FALSE),"")</f>
        <v/>
      </c>
      <c r="I41" t="str">
        <f>IF(B41="","",
IF(ROW()-1&lt;=$Z$1,
   INDEX(auditor_2!A$2:A$958,$Z$1-(ROW()-2)),
   INDEX(auditor_1!A$2:A$785,$Z$2-(ROW()-$Z$1-2))
))</f>
        <v/>
      </c>
      <c r="K41" t="str">
        <f>IF(AND(F41&lt;&gt;0, B41&lt;&gt;""), MAX($K$1:K40)+1, "")</f>
        <v/>
      </c>
    </row>
    <row r="42" spans="1:11" x14ac:dyDescent="0.25">
      <c r="A42" t="str">
        <f t="shared" si="0"/>
        <v/>
      </c>
      <c r="B42" t="str">
        <f>IF(ROW()-1&lt;=$Z$1,
   INDEX(auditor_2!B$2:B$958,$Z$1-(ROW()-2)),
IF(ROW()-1&lt;=$Z$1+$Z$2,
   INDEX(auditor_1!B$2:B$785,$Z$2-(ROW()-$Z$1-2)),
""))</f>
        <v/>
      </c>
      <c r="C42" t="str">
        <f>IFERROR(VLOOKUP(B42,Data!$B:$Q,16,FALSE),"")</f>
        <v/>
      </c>
      <c r="D42" t="str">
        <f>IFERROR(VLOOKUP(B42,Data!$B:$Q,3,FALSE),"")</f>
        <v/>
      </c>
      <c r="E42" t="str">
        <f>IF(B42="","",
IF(ROW()-1&lt;=$Z$1,
   INDEX(auditor_2!F$2:F$958,$Z$1-(ROW()-2)),
   INDEX(auditor_1!F$2:F$785,$Z$2-(ROW()-$Z$1-2))
))</f>
        <v/>
      </c>
      <c r="F42" t="str">
        <f>IF(B42="","",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2" t="str">
        <f>IF(B42="","",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2" t="str">
        <f>IFERROR(VLOOKUP(B42,Data!$B:$Q,15,FALSE),"")</f>
        <v/>
      </c>
      <c r="I42" t="str">
        <f>IF(B42="","",
IF(ROW()-1&lt;=$Z$1,
   INDEX(auditor_2!A$2:A$958,$Z$1-(ROW()-2)),
   INDEX(auditor_1!A$2:A$785,$Z$2-(ROW()-$Z$1-2))
))</f>
        <v/>
      </c>
      <c r="K42" t="str">
        <f>IF(AND(F42&lt;&gt;0, B42&lt;&gt;""), MAX($K$1:K41)+1, "")</f>
        <v/>
      </c>
    </row>
    <row r="43" spans="1:11" x14ac:dyDescent="0.25">
      <c r="A43" t="str">
        <f t="shared" si="0"/>
        <v/>
      </c>
      <c r="B43" t="str">
        <f>IF(ROW()-1&lt;=$Z$1,
   INDEX(auditor_2!B$2:B$958,$Z$1-(ROW()-2)),
IF(ROW()-1&lt;=$Z$1+$Z$2,
   INDEX(auditor_1!B$2:B$785,$Z$2-(ROW()-$Z$1-2)),
""))</f>
        <v/>
      </c>
      <c r="C43" t="str">
        <f>IFERROR(VLOOKUP(B43,Data!$B:$Q,16,FALSE),"")</f>
        <v/>
      </c>
      <c r="D43" t="str">
        <f>IFERROR(VLOOKUP(B43,Data!$B:$Q,3,FALSE),"")</f>
        <v/>
      </c>
      <c r="E43" t="str">
        <f>IF(B43="","",
IF(ROW()-1&lt;=$Z$1,
   INDEX(auditor_2!F$2:F$958,$Z$1-(ROW()-2)),
   INDEX(auditor_1!F$2:F$785,$Z$2-(ROW()-$Z$1-2))
))</f>
        <v/>
      </c>
      <c r="F43" t="str">
        <f>IF(B43="","",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3" t="str">
        <f>IF(B43="","",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3" t="str">
        <f>IFERROR(VLOOKUP(B43,Data!$B:$Q,15,FALSE),"")</f>
        <v/>
      </c>
      <c r="I43" t="str">
        <f>IF(B43="","",
IF(ROW()-1&lt;=$Z$1,
   INDEX(auditor_2!A$2:A$958,$Z$1-(ROW()-2)),
   INDEX(auditor_1!A$2:A$785,$Z$2-(ROW()-$Z$1-2))
))</f>
        <v/>
      </c>
      <c r="K43" t="str">
        <f>IF(AND(F43&lt;&gt;0, B43&lt;&gt;""), MAX($K$1:K42)+1, "")</f>
        <v/>
      </c>
    </row>
    <row r="44" spans="1:11" x14ac:dyDescent="0.25">
      <c r="A44" t="str">
        <f t="shared" si="0"/>
        <v/>
      </c>
      <c r="B44" t="str">
        <f>IF(ROW()-1&lt;=$Z$1,
   INDEX(auditor_2!B$2:B$958,$Z$1-(ROW()-2)),
IF(ROW()-1&lt;=$Z$1+$Z$2,
   INDEX(auditor_1!B$2:B$785,$Z$2-(ROW()-$Z$1-2)),
""))</f>
        <v/>
      </c>
      <c r="C44" t="str">
        <f>IFERROR(VLOOKUP(B44,Data!$B:$Q,16,FALSE),"")</f>
        <v/>
      </c>
      <c r="D44" t="str">
        <f>IFERROR(VLOOKUP(B44,Data!$B:$Q,3,FALSE),"")</f>
        <v/>
      </c>
      <c r="E44" t="str">
        <f>IF(B44="","",
IF(ROW()-1&lt;=$Z$1,
   INDEX(auditor_2!F$2:F$958,$Z$1-(ROW()-2)),
   INDEX(auditor_1!F$2:F$785,$Z$2-(ROW()-$Z$1-2))
))</f>
        <v/>
      </c>
      <c r="F44" t="str">
        <f>IF(B44="","",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4" t="str">
        <f>IF(B44="","",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4" t="str">
        <f>IFERROR(VLOOKUP(B44,Data!$B:$Q,15,FALSE),"")</f>
        <v/>
      </c>
      <c r="I44" t="str">
        <f>IF(B44="","",
IF(ROW()-1&lt;=$Z$1,
   INDEX(auditor_2!A$2:A$958,$Z$1-(ROW()-2)),
   INDEX(auditor_1!A$2:A$785,$Z$2-(ROW()-$Z$1-2))
))</f>
        <v/>
      </c>
      <c r="K44" t="str">
        <f>IF(AND(F44&lt;&gt;0, B44&lt;&gt;""), MAX($K$1:K43)+1, "")</f>
        <v/>
      </c>
    </row>
    <row r="45" spans="1:11" x14ac:dyDescent="0.25">
      <c r="A45" t="str">
        <f t="shared" si="0"/>
        <v/>
      </c>
      <c r="B45" t="str">
        <f>IF(ROW()-1&lt;=$Z$1,
   INDEX(auditor_2!B$2:B$958,$Z$1-(ROW()-2)),
IF(ROW()-1&lt;=$Z$1+$Z$2,
   INDEX(auditor_1!B$2:B$785,$Z$2-(ROW()-$Z$1-2)),
""))</f>
        <v/>
      </c>
      <c r="C45" t="str">
        <f>IFERROR(VLOOKUP(B45,Data!$B:$Q,16,FALSE),"")</f>
        <v/>
      </c>
      <c r="D45" t="str">
        <f>IFERROR(VLOOKUP(B45,Data!$B:$Q,3,FALSE),"")</f>
        <v/>
      </c>
      <c r="E45" t="str">
        <f>IF(B45="","",
IF(ROW()-1&lt;=$Z$1,
   INDEX(auditor_2!F$2:F$958,$Z$1-(ROW()-2)),
   INDEX(auditor_1!F$2:F$785,$Z$2-(ROW()-$Z$1-2))
))</f>
        <v/>
      </c>
      <c r="F45" t="str">
        <f>IF(B45="","",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5" t="str">
        <f>IF(B45="","",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5" t="str">
        <f>IFERROR(VLOOKUP(B45,Data!$B:$Q,15,FALSE),"")</f>
        <v/>
      </c>
      <c r="I45" t="str">
        <f>IF(B45="","",
IF(ROW()-1&lt;=$Z$1,
   INDEX(auditor_2!A$2:A$958,$Z$1-(ROW()-2)),
   INDEX(auditor_1!A$2:A$785,$Z$2-(ROW()-$Z$1-2))
))</f>
        <v/>
      </c>
      <c r="K45" t="str">
        <f>IF(AND(F45&lt;&gt;0, B45&lt;&gt;""), MAX($K$1:K44)+1, "")</f>
        <v/>
      </c>
    </row>
    <row r="46" spans="1:11" x14ac:dyDescent="0.25">
      <c r="A46" t="str">
        <f t="shared" si="0"/>
        <v/>
      </c>
      <c r="B46" t="str">
        <f>IF(ROW()-1&lt;=$Z$1,
   INDEX(auditor_2!B$2:B$958,$Z$1-(ROW()-2)),
IF(ROW()-1&lt;=$Z$1+$Z$2,
   INDEX(auditor_1!B$2:B$785,$Z$2-(ROW()-$Z$1-2)),
""))</f>
        <v/>
      </c>
      <c r="C46" t="str">
        <f>IFERROR(VLOOKUP(B46,Data!$B:$Q,16,FALSE),"")</f>
        <v/>
      </c>
      <c r="D46" t="str">
        <f>IFERROR(VLOOKUP(B46,Data!$B:$Q,3,FALSE),"")</f>
        <v/>
      </c>
      <c r="E46" t="str">
        <f>IF(B46="","",
IF(ROW()-1&lt;=$Z$1,
   INDEX(auditor_2!F$2:F$958,$Z$1-(ROW()-2)),
   INDEX(auditor_1!F$2:F$785,$Z$2-(ROW()-$Z$1-2))
))</f>
        <v/>
      </c>
      <c r="F46" t="str">
        <f>IF(B46="","",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6" t="str">
        <f>IF(B46="","",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6" t="str">
        <f>IFERROR(VLOOKUP(B46,Data!$B:$Q,15,FALSE),"")</f>
        <v/>
      </c>
      <c r="I46" t="str">
        <f>IF(B46="","",
IF(ROW()-1&lt;=$Z$1,
   INDEX(auditor_2!A$2:A$958,$Z$1-(ROW()-2)),
   INDEX(auditor_1!A$2:A$785,$Z$2-(ROW()-$Z$1-2))
))</f>
        <v/>
      </c>
      <c r="K46" t="str">
        <f>IF(AND(F46&lt;&gt;0, B46&lt;&gt;""), MAX($K$1:K45)+1, "")</f>
        <v/>
      </c>
    </row>
    <row r="47" spans="1:11" x14ac:dyDescent="0.25">
      <c r="A47" t="str">
        <f t="shared" si="0"/>
        <v/>
      </c>
      <c r="B47" t="str">
        <f>IF(ROW()-1&lt;=$Z$1,
   INDEX(auditor_2!B$2:B$958,$Z$1-(ROW()-2)),
IF(ROW()-1&lt;=$Z$1+$Z$2,
   INDEX(auditor_1!B$2:B$785,$Z$2-(ROW()-$Z$1-2)),
""))</f>
        <v/>
      </c>
      <c r="C47" t="str">
        <f>IFERROR(VLOOKUP(B47,Data!$B:$Q,16,FALSE),"")</f>
        <v/>
      </c>
      <c r="D47" t="str">
        <f>IFERROR(VLOOKUP(B47,Data!$B:$Q,3,FALSE),"")</f>
        <v/>
      </c>
      <c r="E47" t="str">
        <f>IF(B47="","",
IF(ROW()-1&lt;=$Z$1,
   INDEX(auditor_2!F$2:F$958,$Z$1-(ROW()-2)),
   INDEX(auditor_1!F$2:F$785,$Z$2-(ROW()-$Z$1-2))
))</f>
        <v/>
      </c>
      <c r="F47" t="str">
        <f>IF(B47="","",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7" t="str">
        <f>IF(B47="","",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7" t="str">
        <f>IFERROR(VLOOKUP(B47,Data!$B:$Q,15,FALSE),"")</f>
        <v/>
      </c>
      <c r="I47" t="str">
        <f>IF(B47="","",
IF(ROW()-1&lt;=$Z$1,
   INDEX(auditor_2!A$2:A$958,$Z$1-(ROW()-2)),
   INDEX(auditor_1!A$2:A$785,$Z$2-(ROW()-$Z$1-2))
))</f>
        <v/>
      </c>
      <c r="K47" t="str">
        <f>IF(AND(F47&lt;&gt;0, B47&lt;&gt;""), MAX($K$1:K46)+1, "")</f>
        <v/>
      </c>
    </row>
    <row r="48" spans="1:11" x14ac:dyDescent="0.25">
      <c r="A48" t="str">
        <f t="shared" si="0"/>
        <v/>
      </c>
      <c r="B48" t="str">
        <f>IF(ROW()-1&lt;=$Z$1,
   INDEX(auditor_2!B$2:B$958,$Z$1-(ROW()-2)),
IF(ROW()-1&lt;=$Z$1+$Z$2,
   INDEX(auditor_1!B$2:B$785,$Z$2-(ROW()-$Z$1-2)),
""))</f>
        <v/>
      </c>
      <c r="C48" t="str">
        <f>IFERROR(VLOOKUP(B48,Data!$B:$Q,16,FALSE),"")</f>
        <v/>
      </c>
      <c r="D48" t="str">
        <f>IFERROR(VLOOKUP(B48,Data!$B:$Q,3,FALSE),"")</f>
        <v/>
      </c>
      <c r="E48" t="str">
        <f>IF(B48="","",
IF(ROW()-1&lt;=$Z$1,
   INDEX(auditor_2!F$2:F$958,$Z$1-(ROW()-2)),
   INDEX(auditor_1!F$2:F$785,$Z$2-(ROW()-$Z$1-2))
))</f>
        <v/>
      </c>
      <c r="F48" t="str">
        <f>IF(B48="","",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8" t="str">
        <f>IF(B48="","",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8" t="str">
        <f>IFERROR(VLOOKUP(B48,Data!$B:$Q,15,FALSE),"")</f>
        <v/>
      </c>
      <c r="I48" t="str">
        <f>IF(B48="","",
IF(ROW()-1&lt;=$Z$1,
   INDEX(auditor_2!A$2:A$958,$Z$1-(ROW()-2)),
   INDEX(auditor_1!A$2:A$785,$Z$2-(ROW()-$Z$1-2))
))</f>
        <v/>
      </c>
      <c r="K48" t="str">
        <f>IF(AND(F48&lt;&gt;0, B48&lt;&gt;""), MAX($K$1:K47)+1, "")</f>
        <v/>
      </c>
    </row>
    <row r="49" spans="1:11" x14ac:dyDescent="0.25">
      <c r="A49" t="str">
        <f t="shared" si="0"/>
        <v/>
      </c>
      <c r="B49" t="str">
        <f>IF(ROW()-1&lt;=$Z$1,
   INDEX(auditor_2!B$2:B$958,$Z$1-(ROW()-2)),
IF(ROW()-1&lt;=$Z$1+$Z$2,
   INDEX(auditor_1!B$2:B$785,$Z$2-(ROW()-$Z$1-2)),
""))</f>
        <v/>
      </c>
      <c r="C49" t="str">
        <f>IFERROR(VLOOKUP(B49,Data!$B:$Q,16,FALSE),"")</f>
        <v/>
      </c>
      <c r="D49" t="str">
        <f>IFERROR(VLOOKUP(B49,Data!$B:$Q,3,FALSE),"")</f>
        <v/>
      </c>
      <c r="E49" t="str">
        <f>IF(B49="","",
IF(ROW()-1&lt;=$Z$1,
   INDEX(auditor_2!F$2:F$958,$Z$1-(ROW()-2)),
   INDEX(auditor_1!F$2:F$785,$Z$2-(ROW()-$Z$1-2))
))</f>
        <v/>
      </c>
      <c r="F49" t="str">
        <f>IF(B49="","",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9" t="str">
        <f>IF(B49="","",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9" t="str">
        <f>IFERROR(VLOOKUP(B49,Data!$B:$Q,15,FALSE),"")</f>
        <v/>
      </c>
      <c r="I49" t="str">
        <f>IF(B49="","",
IF(ROW()-1&lt;=$Z$1,
   INDEX(auditor_2!A$2:A$958,$Z$1-(ROW()-2)),
   INDEX(auditor_1!A$2:A$785,$Z$2-(ROW()-$Z$1-2))
))</f>
        <v/>
      </c>
      <c r="K49" t="str">
        <f>IF(AND(F49&lt;&gt;0, B49&lt;&gt;""), MAX($K$1:K48)+1, "")</f>
        <v/>
      </c>
    </row>
    <row r="50" spans="1:11" x14ac:dyDescent="0.25">
      <c r="A50" t="str">
        <f t="shared" si="0"/>
        <v/>
      </c>
      <c r="B50" t="str">
        <f>IF(ROW()-1&lt;=$Z$1,
   INDEX(auditor_2!B$2:B$958,$Z$1-(ROW()-2)),
IF(ROW()-1&lt;=$Z$1+$Z$2,
   INDEX(auditor_1!B$2:B$785,$Z$2-(ROW()-$Z$1-2)),
""))</f>
        <v/>
      </c>
      <c r="C50" t="str">
        <f>IFERROR(VLOOKUP(B50,Data!$B:$Q,16,FALSE),"")</f>
        <v/>
      </c>
      <c r="D50" t="str">
        <f>IFERROR(VLOOKUP(B50,Data!$B:$Q,3,FALSE),"")</f>
        <v/>
      </c>
      <c r="E50" t="str">
        <f>IF(B50="","",
IF(ROW()-1&lt;=$Z$1,
   INDEX(auditor_2!F$2:F$958,$Z$1-(ROW()-2)),
   INDEX(auditor_1!F$2:F$785,$Z$2-(ROW()-$Z$1-2))
))</f>
        <v/>
      </c>
      <c r="F50" t="str">
        <f>IF(B50="","",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0" t="str">
        <f>IF(B50="","",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0" t="str">
        <f>IFERROR(VLOOKUP(B50,Data!$B:$Q,15,FALSE),"")</f>
        <v/>
      </c>
      <c r="I50" t="str">
        <f>IF(B50="","",
IF(ROW()-1&lt;=$Z$1,
   INDEX(auditor_2!A$2:A$958,$Z$1-(ROW()-2)),
   INDEX(auditor_1!A$2:A$785,$Z$2-(ROW()-$Z$1-2))
))</f>
        <v/>
      </c>
      <c r="K50" t="str">
        <f>IF(AND(F50&lt;&gt;0, B50&lt;&gt;""), MAX($K$1:K49)+1, "")</f>
        <v/>
      </c>
    </row>
    <row r="51" spans="1:11" x14ac:dyDescent="0.25">
      <c r="A51" t="str">
        <f t="shared" si="0"/>
        <v/>
      </c>
      <c r="B51" t="str">
        <f>IF(ROW()-1&lt;=$Z$1,
   INDEX(auditor_2!B$2:B$958,$Z$1-(ROW()-2)),
IF(ROW()-1&lt;=$Z$1+$Z$2,
   INDEX(auditor_1!B$2:B$785,$Z$2-(ROW()-$Z$1-2)),
""))</f>
        <v/>
      </c>
      <c r="C51" t="str">
        <f>IFERROR(VLOOKUP(B51,Data!$B:$Q,16,FALSE),"")</f>
        <v/>
      </c>
      <c r="D51" t="str">
        <f>IFERROR(VLOOKUP(B51,Data!$B:$Q,3,FALSE),"")</f>
        <v/>
      </c>
      <c r="E51" t="str">
        <f>IF(B51="","",
IF(ROW()-1&lt;=$Z$1,
   INDEX(auditor_2!F$2:F$958,$Z$1-(ROW()-2)),
   INDEX(auditor_1!F$2:F$785,$Z$2-(ROW()-$Z$1-2))
))</f>
        <v/>
      </c>
      <c r="F51" t="str">
        <f>IF(B51="","",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1" t="str">
        <f>IF(B51="","",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1" t="str">
        <f>IFERROR(VLOOKUP(B51,Data!$B:$Q,15,FALSE),"")</f>
        <v/>
      </c>
      <c r="I51" t="str">
        <f>IF(B51="","",
IF(ROW()-1&lt;=$Z$1,
   INDEX(auditor_2!A$2:A$958,$Z$1-(ROW()-2)),
   INDEX(auditor_1!A$2:A$785,$Z$2-(ROW()-$Z$1-2))
))</f>
        <v/>
      </c>
      <c r="K51" t="str">
        <f>IF(AND(F51&lt;&gt;0, B51&lt;&gt;""), MAX($K$1:K50)+1, "")</f>
        <v/>
      </c>
    </row>
    <row r="52" spans="1:11" x14ac:dyDescent="0.25">
      <c r="A52" t="str">
        <f t="shared" si="0"/>
        <v/>
      </c>
      <c r="B52" t="str">
        <f>IF(ROW()-1&lt;=$Z$1,
   INDEX(auditor_2!B$2:B$958,$Z$1-(ROW()-2)),
IF(ROW()-1&lt;=$Z$1+$Z$2,
   INDEX(auditor_1!B$2:B$785,$Z$2-(ROW()-$Z$1-2)),
""))</f>
        <v/>
      </c>
      <c r="C52" t="str">
        <f>IFERROR(VLOOKUP(B52,Data!$B:$Q,16,FALSE),"")</f>
        <v/>
      </c>
      <c r="D52" t="str">
        <f>IFERROR(VLOOKUP(B52,Data!$B:$Q,3,FALSE),"")</f>
        <v/>
      </c>
      <c r="E52" t="str">
        <f>IF(B52="","",
IF(ROW()-1&lt;=$Z$1,
   INDEX(auditor_2!F$2:F$958,$Z$1-(ROW()-2)),
   INDEX(auditor_1!F$2:F$785,$Z$2-(ROW()-$Z$1-2))
))</f>
        <v/>
      </c>
      <c r="F52" t="str">
        <f>IF(B52="","",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2" t="str">
        <f>IF(B52="","",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2" t="str">
        <f>IFERROR(VLOOKUP(B52,Data!$B:$Q,15,FALSE),"")</f>
        <v/>
      </c>
      <c r="I52" t="str">
        <f>IF(B52="","",
IF(ROW()-1&lt;=$Z$1,
   INDEX(auditor_2!A$2:A$958,$Z$1-(ROW()-2)),
   INDEX(auditor_1!A$2:A$785,$Z$2-(ROW()-$Z$1-2))
))</f>
        <v/>
      </c>
      <c r="K52" t="str">
        <f>IF(AND(F52&lt;&gt;0, B52&lt;&gt;""), MAX($K$1:K51)+1, "")</f>
        <v/>
      </c>
    </row>
    <row r="53" spans="1:11" x14ac:dyDescent="0.25">
      <c r="A53" t="str">
        <f t="shared" si="0"/>
        <v/>
      </c>
      <c r="B53" t="str">
        <f>IF(ROW()-1&lt;=$Z$1,
   INDEX(auditor_2!B$2:B$958,$Z$1-(ROW()-2)),
IF(ROW()-1&lt;=$Z$1+$Z$2,
   INDEX(auditor_1!B$2:B$785,$Z$2-(ROW()-$Z$1-2)),
""))</f>
        <v/>
      </c>
      <c r="C53" t="str">
        <f>IFERROR(VLOOKUP(B53,Data!$B:$Q,16,FALSE),"")</f>
        <v/>
      </c>
      <c r="D53" t="str">
        <f>IFERROR(VLOOKUP(B53,Data!$B:$Q,3,FALSE),"")</f>
        <v/>
      </c>
      <c r="E53" t="str">
        <f>IF(B53="","",
IF(ROW()-1&lt;=$Z$1,
   INDEX(auditor_2!F$2:F$958,$Z$1-(ROW()-2)),
   INDEX(auditor_1!F$2:F$785,$Z$2-(ROW()-$Z$1-2))
))</f>
        <v/>
      </c>
      <c r="F53" t="str">
        <f>IF(B53="","",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3" t="str">
        <f>IF(B53="","",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3" t="str">
        <f>IFERROR(VLOOKUP(B53,Data!$B:$Q,15,FALSE),"")</f>
        <v/>
      </c>
      <c r="I53" t="str">
        <f>IF(B53="","",
IF(ROW()-1&lt;=$Z$1,
   INDEX(auditor_2!A$2:A$958,$Z$1-(ROW()-2)),
   INDEX(auditor_1!A$2:A$785,$Z$2-(ROW()-$Z$1-2))
))</f>
        <v/>
      </c>
      <c r="K53" t="str">
        <f>IF(AND(F53&lt;&gt;0, B53&lt;&gt;""), MAX($K$1:K52)+1, "")</f>
        <v/>
      </c>
    </row>
    <row r="54" spans="1:11" x14ac:dyDescent="0.25">
      <c r="A54" t="str">
        <f t="shared" si="0"/>
        <v/>
      </c>
      <c r="B54" t="str">
        <f>IF(ROW()-1&lt;=$Z$1,
   INDEX(auditor_2!B$2:B$958,$Z$1-(ROW()-2)),
IF(ROW()-1&lt;=$Z$1+$Z$2,
   INDEX(auditor_1!B$2:B$785,$Z$2-(ROW()-$Z$1-2)),
""))</f>
        <v/>
      </c>
      <c r="C54" t="str">
        <f>IFERROR(VLOOKUP(B54,Data!$B:$Q,16,FALSE),"")</f>
        <v/>
      </c>
      <c r="D54" t="str">
        <f>IFERROR(VLOOKUP(B54,Data!$B:$Q,3,FALSE),"")</f>
        <v/>
      </c>
      <c r="E54" t="str">
        <f>IF(B54="","",
IF(ROW()-1&lt;=$Z$1,
   INDEX(auditor_2!F$2:F$958,$Z$1-(ROW()-2)),
   INDEX(auditor_1!F$2:F$785,$Z$2-(ROW()-$Z$1-2))
))</f>
        <v/>
      </c>
      <c r="F54" t="str">
        <f>IF(B54="","",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4" t="str">
        <f>IF(B54="","",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4" t="str">
        <f>IFERROR(VLOOKUP(B54,Data!$B:$Q,15,FALSE),"")</f>
        <v/>
      </c>
      <c r="I54" t="str">
        <f>IF(B54="","",
IF(ROW()-1&lt;=$Z$1,
   INDEX(auditor_2!A$2:A$958,$Z$1-(ROW()-2)),
   INDEX(auditor_1!A$2:A$785,$Z$2-(ROW()-$Z$1-2))
))</f>
        <v/>
      </c>
      <c r="K54" t="str">
        <f>IF(AND(F54&lt;&gt;0, B54&lt;&gt;""), MAX($K$1:K53)+1, "")</f>
        <v/>
      </c>
    </row>
    <row r="55" spans="1:11" x14ac:dyDescent="0.25">
      <c r="A55" t="str">
        <f t="shared" si="0"/>
        <v/>
      </c>
      <c r="B55" t="str">
        <f>IF(ROW()-1&lt;=$Z$1,
   INDEX(auditor_2!B$2:B$958,$Z$1-(ROW()-2)),
IF(ROW()-1&lt;=$Z$1+$Z$2,
   INDEX(auditor_1!B$2:B$785,$Z$2-(ROW()-$Z$1-2)),
""))</f>
        <v/>
      </c>
      <c r="C55" t="str">
        <f>IFERROR(VLOOKUP(B55,Data!$B:$Q,16,FALSE),"")</f>
        <v/>
      </c>
      <c r="D55" t="str">
        <f>IFERROR(VLOOKUP(B55,Data!$B:$Q,3,FALSE),"")</f>
        <v/>
      </c>
      <c r="E55" t="str">
        <f>IF(B55="","",
IF(ROW()-1&lt;=$Z$1,
   INDEX(auditor_2!F$2:F$958,$Z$1-(ROW()-2)),
   INDEX(auditor_1!F$2:F$785,$Z$2-(ROW()-$Z$1-2))
))</f>
        <v/>
      </c>
      <c r="F55" t="str">
        <f>IF(B55="","",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5" t="str">
        <f>IF(B55="","",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5" t="str">
        <f>IFERROR(VLOOKUP(B55,Data!$B:$Q,15,FALSE),"")</f>
        <v/>
      </c>
      <c r="I55" t="str">
        <f>IF(B55="","",
IF(ROW()-1&lt;=$Z$1,
   INDEX(auditor_2!A$2:A$958,$Z$1-(ROW()-2)),
   INDEX(auditor_1!A$2:A$785,$Z$2-(ROW()-$Z$1-2))
))</f>
        <v/>
      </c>
      <c r="K55" t="str">
        <f>IF(AND(F55&lt;&gt;0, B55&lt;&gt;""), MAX($K$1:K54)+1, "")</f>
        <v/>
      </c>
    </row>
    <row r="56" spans="1:11" x14ac:dyDescent="0.25">
      <c r="A56" t="str">
        <f t="shared" si="0"/>
        <v/>
      </c>
      <c r="B56" t="str">
        <f>IF(ROW()-1&lt;=$Z$1,
   INDEX(auditor_2!B$2:B$958,$Z$1-(ROW()-2)),
IF(ROW()-1&lt;=$Z$1+$Z$2,
   INDEX(auditor_1!B$2:B$785,$Z$2-(ROW()-$Z$1-2)),
""))</f>
        <v/>
      </c>
      <c r="C56" t="str">
        <f>IFERROR(VLOOKUP(B56,Data!$B:$Q,16,FALSE),"")</f>
        <v/>
      </c>
      <c r="D56" t="str">
        <f>IFERROR(VLOOKUP(B56,Data!$B:$Q,3,FALSE),"")</f>
        <v/>
      </c>
      <c r="E56" t="str">
        <f>IF(B56="","",
IF(ROW()-1&lt;=$Z$1,
   INDEX(auditor_2!F$2:F$958,$Z$1-(ROW()-2)),
   INDEX(auditor_1!F$2:F$785,$Z$2-(ROW()-$Z$1-2))
))</f>
        <v/>
      </c>
      <c r="F56" t="str">
        <f>IF(B56="","",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6" t="str">
        <f>IF(B56="","",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6" t="str">
        <f>IFERROR(VLOOKUP(B56,Data!$B:$Q,15,FALSE),"")</f>
        <v/>
      </c>
      <c r="I56" t="str">
        <f>IF(B56="","",
IF(ROW()-1&lt;=$Z$1,
   INDEX(auditor_2!A$2:A$958,$Z$1-(ROW()-2)),
   INDEX(auditor_1!A$2:A$785,$Z$2-(ROW()-$Z$1-2))
))</f>
        <v/>
      </c>
      <c r="K56" t="str">
        <f>IF(AND(F56&lt;&gt;0, B56&lt;&gt;""), MAX($K$1:K55)+1, "")</f>
        <v/>
      </c>
    </row>
    <row r="57" spans="1:11" x14ac:dyDescent="0.25">
      <c r="A57" t="str">
        <f t="shared" si="0"/>
        <v/>
      </c>
      <c r="B57" t="str">
        <f>IF(ROW()-1&lt;=$Z$1,
   INDEX(auditor_2!B$2:B$958,$Z$1-(ROW()-2)),
IF(ROW()-1&lt;=$Z$1+$Z$2,
   INDEX(auditor_1!B$2:B$785,$Z$2-(ROW()-$Z$1-2)),
""))</f>
        <v/>
      </c>
      <c r="C57" t="str">
        <f>IFERROR(VLOOKUP(B57,Data!$B:$Q,16,FALSE),"")</f>
        <v/>
      </c>
      <c r="D57" t="str">
        <f>IFERROR(VLOOKUP(B57,Data!$B:$Q,3,FALSE),"")</f>
        <v/>
      </c>
      <c r="E57" t="str">
        <f>IF(B57="","",
IF(ROW()-1&lt;=$Z$1,
   INDEX(auditor_2!F$2:F$958,$Z$1-(ROW()-2)),
   INDEX(auditor_1!F$2:F$785,$Z$2-(ROW()-$Z$1-2))
))</f>
        <v/>
      </c>
      <c r="F57" t="str">
        <f>IF(B57="","",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7" t="str">
        <f>IF(B57="","",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7" t="str">
        <f>IFERROR(VLOOKUP(B57,Data!$B:$Q,15,FALSE),"")</f>
        <v/>
      </c>
      <c r="I57" t="str">
        <f>IF(B57="","",
IF(ROW()-1&lt;=$Z$1,
   INDEX(auditor_2!A$2:A$958,$Z$1-(ROW()-2)),
   INDEX(auditor_1!A$2:A$785,$Z$2-(ROW()-$Z$1-2))
))</f>
        <v/>
      </c>
      <c r="K57" t="str">
        <f>IF(AND(F57&lt;&gt;0, B57&lt;&gt;""), MAX($K$1:K56)+1, "")</f>
        <v/>
      </c>
    </row>
    <row r="58" spans="1:11" x14ac:dyDescent="0.25">
      <c r="A58" t="str">
        <f t="shared" si="0"/>
        <v/>
      </c>
      <c r="B58" t="str">
        <f>IF(ROW()-1&lt;=$Z$1,
   INDEX(auditor_2!B$2:B$958,$Z$1-(ROW()-2)),
IF(ROW()-1&lt;=$Z$1+$Z$2,
   INDEX(auditor_1!B$2:B$785,$Z$2-(ROW()-$Z$1-2)),
""))</f>
        <v/>
      </c>
      <c r="C58" t="str">
        <f>IFERROR(VLOOKUP(B58,Data!$B:$Q,16,FALSE),"")</f>
        <v/>
      </c>
      <c r="D58" t="str">
        <f>IFERROR(VLOOKUP(B58,Data!$B:$Q,3,FALSE),"")</f>
        <v/>
      </c>
      <c r="E58" t="str">
        <f>IF(B58="","",
IF(ROW()-1&lt;=$Z$1,
   INDEX(auditor_2!F$2:F$958,$Z$1-(ROW()-2)),
   INDEX(auditor_1!F$2:F$785,$Z$2-(ROW()-$Z$1-2))
))</f>
        <v/>
      </c>
      <c r="F58" t="str">
        <f>IF(B58="","",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8" t="str">
        <f>IF(B58="","",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8" t="str">
        <f>IFERROR(VLOOKUP(B58,Data!$B:$Q,15,FALSE),"")</f>
        <v/>
      </c>
      <c r="I58" t="str">
        <f>IF(B58="","",
IF(ROW()-1&lt;=$Z$1,
   INDEX(auditor_2!A$2:A$958,$Z$1-(ROW()-2)),
   INDEX(auditor_1!A$2:A$785,$Z$2-(ROW()-$Z$1-2))
))</f>
        <v/>
      </c>
      <c r="K58" t="str">
        <f>IF(AND(F58&lt;&gt;0, B58&lt;&gt;""), MAX($K$1:K57)+1, "")</f>
        <v/>
      </c>
    </row>
    <row r="59" spans="1:11" x14ac:dyDescent="0.25">
      <c r="A59" t="str">
        <f t="shared" si="0"/>
        <v/>
      </c>
      <c r="B59" t="str">
        <f>IF(ROW()-1&lt;=$Z$1,
   INDEX(auditor_2!B$2:B$958,$Z$1-(ROW()-2)),
IF(ROW()-1&lt;=$Z$1+$Z$2,
   INDEX(auditor_1!B$2:B$785,$Z$2-(ROW()-$Z$1-2)),
""))</f>
        <v/>
      </c>
      <c r="C59" t="str">
        <f>IFERROR(VLOOKUP(B59,Data!$B:$Q,16,FALSE),"")</f>
        <v/>
      </c>
      <c r="D59" t="str">
        <f>IFERROR(VLOOKUP(B59,Data!$B:$Q,3,FALSE),"")</f>
        <v/>
      </c>
      <c r="E59" t="str">
        <f>IF(B59="","",
IF(ROW()-1&lt;=$Z$1,
   INDEX(auditor_2!F$2:F$958,$Z$1-(ROW()-2)),
   INDEX(auditor_1!F$2:F$785,$Z$2-(ROW()-$Z$1-2))
))</f>
        <v/>
      </c>
      <c r="F59" t="str">
        <f>IF(B59="","",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9" t="str">
        <f>IF(B59="","",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9" t="str">
        <f>IFERROR(VLOOKUP(B59,Data!$B:$Q,15,FALSE),"")</f>
        <v/>
      </c>
      <c r="I59" t="str">
        <f>IF(B59="","",
IF(ROW()-1&lt;=$Z$1,
   INDEX(auditor_2!A$2:A$958,$Z$1-(ROW()-2)),
   INDEX(auditor_1!A$2:A$785,$Z$2-(ROW()-$Z$1-2))
))</f>
        <v/>
      </c>
      <c r="K59" t="str">
        <f>IF(AND(F59&lt;&gt;0, B59&lt;&gt;""), MAX($K$1:K58)+1, "")</f>
        <v/>
      </c>
    </row>
    <row r="60" spans="1:11" x14ac:dyDescent="0.25">
      <c r="A60" t="str">
        <f t="shared" si="0"/>
        <v/>
      </c>
      <c r="B60" t="str">
        <f>IF(ROW()-1&lt;=$Z$1,
   INDEX(auditor_2!B$2:B$958,$Z$1-(ROW()-2)),
IF(ROW()-1&lt;=$Z$1+$Z$2,
   INDEX(auditor_1!B$2:B$785,$Z$2-(ROW()-$Z$1-2)),
""))</f>
        <v/>
      </c>
      <c r="C60" t="str">
        <f>IFERROR(VLOOKUP(B60,Data!$B:$Q,16,FALSE),"")</f>
        <v/>
      </c>
      <c r="D60" t="str">
        <f>IFERROR(VLOOKUP(B60,Data!$B:$Q,3,FALSE),"")</f>
        <v/>
      </c>
      <c r="E60" t="str">
        <f>IF(B60="","",
IF(ROW()-1&lt;=$Z$1,
   INDEX(auditor_2!F$2:F$958,$Z$1-(ROW()-2)),
   INDEX(auditor_1!F$2:F$785,$Z$2-(ROW()-$Z$1-2))
))</f>
        <v/>
      </c>
      <c r="F60" t="str">
        <f>IF(B60="","",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0" t="str">
        <f>IF(B60="","",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0" t="str">
        <f>IFERROR(VLOOKUP(B60,Data!$B:$Q,15,FALSE),"")</f>
        <v/>
      </c>
      <c r="I60" t="str">
        <f>IF(B60="","",
IF(ROW()-1&lt;=$Z$1,
   INDEX(auditor_2!A$2:A$958,$Z$1-(ROW()-2)),
   INDEX(auditor_1!A$2:A$785,$Z$2-(ROW()-$Z$1-2))
))</f>
        <v/>
      </c>
      <c r="K60" t="str">
        <f>IF(AND(F60&lt;&gt;0, B60&lt;&gt;""), MAX($K$1:K59)+1, "")</f>
        <v/>
      </c>
    </row>
    <row r="61" spans="1:11" x14ac:dyDescent="0.25">
      <c r="A61" t="str">
        <f t="shared" si="0"/>
        <v/>
      </c>
      <c r="B61" t="str">
        <f>IF(ROW()-1&lt;=$Z$1,
   INDEX(auditor_2!B$2:B$958,$Z$1-(ROW()-2)),
IF(ROW()-1&lt;=$Z$1+$Z$2,
   INDEX(auditor_1!B$2:B$785,$Z$2-(ROW()-$Z$1-2)),
""))</f>
        <v/>
      </c>
      <c r="C61" t="str">
        <f>IFERROR(VLOOKUP(B61,Data!$B:$Q,16,FALSE),"")</f>
        <v/>
      </c>
      <c r="D61" t="str">
        <f>IFERROR(VLOOKUP(B61,Data!$B:$Q,3,FALSE),"")</f>
        <v/>
      </c>
      <c r="E61" t="str">
        <f>IF(B61="","",
IF(ROW()-1&lt;=$Z$1,
   INDEX(auditor_2!F$2:F$958,$Z$1-(ROW()-2)),
   INDEX(auditor_1!F$2:F$785,$Z$2-(ROW()-$Z$1-2))
))</f>
        <v/>
      </c>
      <c r="F61" t="str">
        <f>IF(B61="","",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1" t="str">
        <f>IF(B61="","",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1" t="str">
        <f>IFERROR(VLOOKUP(B61,Data!$B:$Q,15,FALSE),"")</f>
        <v/>
      </c>
      <c r="I61" t="str">
        <f>IF(B61="","",
IF(ROW()-1&lt;=$Z$1,
   INDEX(auditor_2!A$2:A$958,$Z$1-(ROW()-2)),
   INDEX(auditor_1!A$2:A$785,$Z$2-(ROW()-$Z$1-2))
))</f>
        <v/>
      </c>
      <c r="K61" t="str">
        <f>IF(AND(F61&lt;&gt;0, B61&lt;&gt;""), MAX($K$1:K60)+1, "")</f>
        <v/>
      </c>
    </row>
    <row r="62" spans="1:11" x14ac:dyDescent="0.25">
      <c r="A62" t="str">
        <f t="shared" si="0"/>
        <v/>
      </c>
      <c r="B62" t="str">
        <f>IF(ROW()-1&lt;=$Z$1,
   INDEX(auditor_2!B$2:B$958,$Z$1-(ROW()-2)),
IF(ROW()-1&lt;=$Z$1+$Z$2,
   INDEX(auditor_1!B$2:B$785,$Z$2-(ROW()-$Z$1-2)),
""))</f>
        <v/>
      </c>
      <c r="C62" t="str">
        <f>IFERROR(VLOOKUP(B62,Data!$B:$Q,16,FALSE),"")</f>
        <v/>
      </c>
      <c r="D62" t="str">
        <f>IFERROR(VLOOKUP(B62,Data!$B:$Q,3,FALSE),"")</f>
        <v/>
      </c>
      <c r="E62" t="str">
        <f>IF(B62="","",
IF(ROW()-1&lt;=$Z$1,
   INDEX(auditor_2!F$2:F$958,$Z$1-(ROW()-2)),
   INDEX(auditor_1!F$2:F$785,$Z$2-(ROW()-$Z$1-2))
))</f>
        <v/>
      </c>
      <c r="F62" t="str">
        <f>IF(B62="","",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2" t="str">
        <f>IF(B62="","",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2" t="str">
        <f>IFERROR(VLOOKUP(B62,Data!$B:$Q,15,FALSE),"")</f>
        <v/>
      </c>
      <c r="I62" t="str">
        <f>IF(B62="","",
IF(ROW()-1&lt;=$Z$1,
   INDEX(auditor_2!A$2:A$958,$Z$1-(ROW()-2)),
   INDEX(auditor_1!A$2:A$785,$Z$2-(ROW()-$Z$1-2))
))</f>
        <v/>
      </c>
      <c r="K62" t="str">
        <f>IF(AND(F62&lt;&gt;0, B62&lt;&gt;""), MAX($K$1:K61)+1, "")</f>
        <v/>
      </c>
    </row>
    <row r="63" spans="1:11" x14ac:dyDescent="0.25">
      <c r="A63" t="str">
        <f t="shared" si="0"/>
        <v/>
      </c>
      <c r="B63" t="str">
        <f>IF(ROW()-1&lt;=$Z$1,
   INDEX(auditor_2!B$2:B$958,$Z$1-(ROW()-2)),
IF(ROW()-1&lt;=$Z$1+$Z$2,
   INDEX(auditor_1!B$2:B$785,$Z$2-(ROW()-$Z$1-2)),
""))</f>
        <v/>
      </c>
      <c r="C63" t="str">
        <f>IFERROR(VLOOKUP(B63,Data!$B:$Q,16,FALSE),"")</f>
        <v/>
      </c>
      <c r="D63" t="str">
        <f>IFERROR(VLOOKUP(B63,Data!$B:$Q,3,FALSE),"")</f>
        <v/>
      </c>
      <c r="E63" t="str">
        <f>IF(B63="","",
IF(ROW()-1&lt;=$Z$1,
   INDEX(auditor_2!F$2:F$958,$Z$1-(ROW()-2)),
   INDEX(auditor_1!F$2:F$785,$Z$2-(ROW()-$Z$1-2))
))</f>
        <v/>
      </c>
      <c r="F63" t="str">
        <f>IF(B63="","",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3" t="str">
        <f>IF(B63="","",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3" t="str">
        <f>IFERROR(VLOOKUP(B63,Data!$B:$Q,15,FALSE),"")</f>
        <v/>
      </c>
      <c r="I63" t="str">
        <f>IF(B63="","",
IF(ROW()-1&lt;=$Z$1,
   INDEX(auditor_2!A$2:A$958,$Z$1-(ROW()-2)),
   INDEX(auditor_1!A$2:A$785,$Z$2-(ROW()-$Z$1-2))
))</f>
        <v/>
      </c>
      <c r="K63" t="str">
        <f>IF(AND(F63&lt;&gt;0, B63&lt;&gt;""), MAX($K$1:K62)+1, "")</f>
        <v/>
      </c>
    </row>
    <row r="64" spans="1:11" x14ac:dyDescent="0.25">
      <c r="A64" t="str">
        <f t="shared" si="0"/>
        <v/>
      </c>
      <c r="B64" t="str">
        <f>IF(ROW()-1&lt;=$Z$1,
   INDEX(auditor_2!B$2:B$958,$Z$1-(ROW()-2)),
IF(ROW()-1&lt;=$Z$1+$Z$2,
   INDEX(auditor_1!B$2:B$785,$Z$2-(ROW()-$Z$1-2)),
""))</f>
        <v/>
      </c>
      <c r="C64" t="str">
        <f>IFERROR(VLOOKUP(B64,Data!$B:$Q,16,FALSE),"")</f>
        <v/>
      </c>
      <c r="D64" t="str">
        <f>IFERROR(VLOOKUP(B64,Data!$B:$Q,3,FALSE),"")</f>
        <v/>
      </c>
      <c r="E64" t="str">
        <f>IF(B64="","",
IF(ROW()-1&lt;=$Z$1,
   INDEX(auditor_2!F$2:F$958,$Z$1-(ROW()-2)),
   INDEX(auditor_1!F$2:F$785,$Z$2-(ROW()-$Z$1-2))
))</f>
        <v/>
      </c>
      <c r="F64" t="str">
        <f>IF(B64="","",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4" t="str">
        <f>IF(B64="","",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4" t="str">
        <f>IFERROR(VLOOKUP(B64,Data!$B:$Q,15,FALSE),"")</f>
        <v/>
      </c>
      <c r="I64" t="str">
        <f>IF(B64="","",
IF(ROW()-1&lt;=$Z$1,
   INDEX(auditor_2!A$2:A$958,$Z$1-(ROW()-2)),
   INDEX(auditor_1!A$2:A$785,$Z$2-(ROW()-$Z$1-2))
))</f>
        <v/>
      </c>
      <c r="K64" t="str">
        <f>IF(AND(F64&lt;&gt;0, B64&lt;&gt;""), MAX($K$1:K63)+1, "")</f>
        <v/>
      </c>
    </row>
    <row r="65" spans="1:11" x14ac:dyDescent="0.25">
      <c r="A65" t="str">
        <f t="shared" si="0"/>
        <v/>
      </c>
      <c r="B65" t="str">
        <f>IF(ROW()-1&lt;=$Z$1,
   INDEX(auditor_2!B$2:B$958,$Z$1-(ROW()-2)),
IF(ROW()-1&lt;=$Z$1+$Z$2,
   INDEX(auditor_1!B$2:B$785,$Z$2-(ROW()-$Z$1-2)),
""))</f>
        <v/>
      </c>
      <c r="C65" t="str">
        <f>IFERROR(VLOOKUP(B65,Data!$B:$Q,16,FALSE),"")</f>
        <v/>
      </c>
      <c r="D65" t="str">
        <f>IFERROR(VLOOKUP(B65,Data!$B:$Q,3,FALSE),"")</f>
        <v/>
      </c>
      <c r="E65" t="str">
        <f>IF(B65="","",
IF(ROW()-1&lt;=$Z$1,
   INDEX(auditor_2!F$2:F$958,$Z$1-(ROW()-2)),
   INDEX(auditor_1!F$2:F$785,$Z$2-(ROW()-$Z$1-2))
))</f>
        <v/>
      </c>
      <c r="F65" t="str">
        <f>IF(B65="","",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5" t="str">
        <f>IF(B65="","",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5" t="str">
        <f>IFERROR(VLOOKUP(B65,Data!$B:$Q,15,FALSE),"")</f>
        <v/>
      </c>
      <c r="I65" t="str">
        <f>IF(B65="","",
IF(ROW()-1&lt;=$Z$1,
   INDEX(auditor_2!A$2:A$958,$Z$1-(ROW()-2)),
   INDEX(auditor_1!A$2:A$785,$Z$2-(ROW()-$Z$1-2))
))</f>
        <v/>
      </c>
      <c r="K65" t="str">
        <f>IF(AND(F65&lt;&gt;0, B65&lt;&gt;""), MAX($K$1:K64)+1, "")</f>
        <v/>
      </c>
    </row>
    <row r="66" spans="1:11" x14ac:dyDescent="0.25">
      <c r="A66" t="str">
        <f t="shared" si="0"/>
        <v/>
      </c>
      <c r="B66" t="str">
        <f>IF(ROW()-1&lt;=$Z$1,
   INDEX(auditor_2!B$2:B$958,$Z$1-(ROW()-2)),
IF(ROW()-1&lt;=$Z$1+$Z$2,
   INDEX(auditor_1!B$2:B$785,$Z$2-(ROW()-$Z$1-2)),
""))</f>
        <v/>
      </c>
      <c r="C66" t="str">
        <f>IFERROR(VLOOKUP(B66,Data!$B:$Q,16,FALSE),"")</f>
        <v/>
      </c>
      <c r="D66" t="str">
        <f>IFERROR(VLOOKUP(B66,Data!$B:$Q,3,FALSE),"")</f>
        <v/>
      </c>
      <c r="E66" t="str">
        <f>IF(B66="","",
IF(ROW()-1&lt;=$Z$1,
   INDEX(auditor_2!F$2:F$958,$Z$1-(ROW()-2)),
   INDEX(auditor_1!F$2:F$785,$Z$2-(ROW()-$Z$1-2))
))</f>
        <v/>
      </c>
      <c r="F66" t="str">
        <f>IF(B66="","",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6" t="str">
        <f>IF(B66="","",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6" t="str">
        <f>IFERROR(VLOOKUP(B66,Data!$B:$Q,15,FALSE),"")</f>
        <v/>
      </c>
      <c r="I66" t="str">
        <f>IF(B66="","",
IF(ROW()-1&lt;=$Z$1,
   INDEX(auditor_2!A$2:A$958,$Z$1-(ROW()-2)),
   INDEX(auditor_1!A$2:A$785,$Z$2-(ROW()-$Z$1-2))
))</f>
        <v/>
      </c>
      <c r="K66" t="str">
        <f>IF(AND(F66&lt;&gt;0, B66&lt;&gt;""), MAX($K$1:K65)+1, "")</f>
        <v/>
      </c>
    </row>
    <row r="67" spans="1:11" x14ac:dyDescent="0.25">
      <c r="A67" t="str">
        <f t="shared" ref="A67:A130" si="1">IF(B67="","",ROW()-1)</f>
        <v/>
      </c>
      <c r="B67" t="str">
        <f>IF(ROW()-1&lt;=$Z$1,
   INDEX(auditor_2!B$2:B$958,$Z$1-(ROW()-2)),
IF(ROW()-1&lt;=$Z$1+$Z$2,
   INDEX(auditor_1!B$2:B$785,$Z$2-(ROW()-$Z$1-2)),
""))</f>
        <v/>
      </c>
      <c r="C67" t="str">
        <f>IFERROR(VLOOKUP(B67,Data!$B:$Q,16,FALSE),"")</f>
        <v/>
      </c>
      <c r="D67" t="str">
        <f>IFERROR(VLOOKUP(B67,Data!$B:$Q,3,FALSE),"")</f>
        <v/>
      </c>
      <c r="E67" t="str">
        <f>IF(B67="","",
IF(ROW()-1&lt;=$Z$1,
   INDEX(auditor_2!F$2:F$958,$Z$1-(ROW()-2)),
   INDEX(auditor_1!F$2:F$785,$Z$2-(ROW()-$Z$1-2))
))</f>
        <v/>
      </c>
      <c r="F67" t="str">
        <f>IF(B67="","",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7" t="str">
        <f>IF(B67="","",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7" t="str">
        <f>IFERROR(VLOOKUP(B67,Data!$B:$Q,15,FALSE),"")</f>
        <v/>
      </c>
      <c r="I67" t="str">
        <f>IF(B67="","",
IF(ROW()-1&lt;=$Z$1,
   INDEX(auditor_2!A$2:A$958,$Z$1-(ROW()-2)),
   INDEX(auditor_1!A$2:A$785,$Z$2-(ROW()-$Z$1-2))
))</f>
        <v/>
      </c>
      <c r="K67" t="str">
        <f>IF(AND(F67&lt;&gt;0, B67&lt;&gt;""), MAX($K$1:K66)+1, "")</f>
        <v/>
      </c>
    </row>
    <row r="68" spans="1:11" x14ac:dyDescent="0.25">
      <c r="A68" t="str">
        <f t="shared" si="1"/>
        <v/>
      </c>
      <c r="B68" t="str">
        <f>IF(ROW()-1&lt;=$Z$1,
   INDEX(auditor_2!B$2:B$958,$Z$1-(ROW()-2)),
IF(ROW()-1&lt;=$Z$1+$Z$2,
   INDEX(auditor_1!B$2:B$785,$Z$2-(ROW()-$Z$1-2)),
""))</f>
        <v/>
      </c>
      <c r="C68" t="str">
        <f>IFERROR(VLOOKUP(B68,Data!$B:$Q,16,FALSE),"")</f>
        <v/>
      </c>
      <c r="D68" t="str">
        <f>IFERROR(VLOOKUP(B68,Data!$B:$Q,3,FALSE),"")</f>
        <v/>
      </c>
      <c r="E68" t="str">
        <f>IF(B68="","",
IF(ROW()-1&lt;=$Z$1,
   INDEX(auditor_2!F$2:F$958,$Z$1-(ROW()-2)),
   INDEX(auditor_1!F$2:F$785,$Z$2-(ROW()-$Z$1-2))
))</f>
        <v/>
      </c>
      <c r="F68" t="str">
        <f>IF(B68="","",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8" t="str">
        <f>IF(B68="","",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8" t="str">
        <f>IFERROR(VLOOKUP(B68,Data!$B:$Q,15,FALSE),"")</f>
        <v/>
      </c>
      <c r="I68" t="str">
        <f>IF(B68="","",
IF(ROW()-1&lt;=$Z$1,
   INDEX(auditor_2!A$2:A$958,$Z$1-(ROW()-2)),
   INDEX(auditor_1!A$2:A$785,$Z$2-(ROW()-$Z$1-2))
))</f>
        <v/>
      </c>
      <c r="K68" t="str">
        <f>IF(AND(F68&lt;&gt;0, B68&lt;&gt;""), MAX($K$1:K67)+1, "")</f>
        <v/>
      </c>
    </row>
    <row r="69" spans="1:11" x14ac:dyDescent="0.25">
      <c r="A69" t="str">
        <f t="shared" si="1"/>
        <v/>
      </c>
      <c r="B69" t="str">
        <f>IF(ROW()-1&lt;=$Z$1,
   INDEX(auditor_2!B$2:B$958,$Z$1-(ROW()-2)),
IF(ROW()-1&lt;=$Z$1+$Z$2,
   INDEX(auditor_1!B$2:B$785,$Z$2-(ROW()-$Z$1-2)),
""))</f>
        <v/>
      </c>
      <c r="C69" t="str">
        <f>IFERROR(VLOOKUP(B69,Data!$B:$Q,16,FALSE),"")</f>
        <v/>
      </c>
      <c r="D69" t="str">
        <f>IFERROR(VLOOKUP(B69,Data!$B:$Q,3,FALSE),"")</f>
        <v/>
      </c>
      <c r="E69" t="str">
        <f>IF(B69="","",
IF(ROW()-1&lt;=$Z$1,
   INDEX(auditor_2!F$2:F$958,$Z$1-(ROW()-2)),
   INDEX(auditor_1!F$2:F$785,$Z$2-(ROW()-$Z$1-2))
))</f>
        <v/>
      </c>
      <c r="F69" t="str">
        <f>IF(B69="","",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9" t="str">
        <f>IF(B69="","",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9" t="str">
        <f>IFERROR(VLOOKUP(B69,Data!$B:$Q,15,FALSE),"")</f>
        <v/>
      </c>
      <c r="I69" t="str">
        <f>IF(B69="","",
IF(ROW()-1&lt;=$Z$1,
   INDEX(auditor_2!A$2:A$958,$Z$1-(ROW()-2)),
   INDEX(auditor_1!A$2:A$785,$Z$2-(ROW()-$Z$1-2))
))</f>
        <v/>
      </c>
      <c r="K69" t="str">
        <f>IF(AND(F69&lt;&gt;0, B69&lt;&gt;""), MAX($K$1:K68)+1, "")</f>
        <v/>
      </c>
    </row>
    <row r="70" spans="1:11" x14ac:dyDescent="0.25">
      <c r="A70" t="str">
        <f t="shared" si="1"/>
        <v/>
      </c>
      <c r="B70" t="str">
        <f>IF(ROW()-1&lt;=$Z$1,
   INDEX(auditor_2!B$2:B$958,$Z$1-(ROW()-2)),
IF(ROW()-1&lt;=$Z$1+$Z$2,
   INDEX(auditor_1!B$2:B$785,$Z$2-(ROW()-$Z$1-2)),
""))</f>
        <v/>
      </c>
      <c r="C70" t="str">
        <f>IFERROR(VLOOKUP(B70,Data!$B:$Q,16,FALSE),"")</f>
        <v/>
      </c>
      <c r="D70" t="str">
        <f>IFERROR(VLOOKUP(B70,Data!$B:$Q,3,FALSE),"")</f>
        <v/>
      </c>
      <c r="E70" t="str">
        <f>IF(B70="","",
IF(ROW()-1&lt;=$Z$1,
   INDEX(auditor_2!F$2:F$958,$Z$1-(ROW()-2)),
   INDEX(auditor_1!F$2:F$785,$Z$2-(ROW()-$Z$1-2))
))</f>
        <v/>
      </c>
      <c r="F70" t="str">
        <f>IF(B70="","",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0" t="str">
        <f>IF(B70="","",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0" t="str">
        <f>IFERROR(VLOOKUP(B70,Data!$B:$Q,15,FALSE),"")</f>
        <v/>
      </c>
      <c r="I70" t="str">
        <f>IF(B70="","",
IF(ROW()-1&lt;=$Z$1,
   INDEX(auditor_2!A$2:A$958,$Z$1-(ROW()-2)),
   INDEX(auditor_1!A$2:A$785,$Z$2-(ROW()-$Z$1-2))
))</f>
        <v/>
      </c>
      <c r="K70" t="str">
        <f>IF(AND(F70&lt;&gt;0, B70&lt;&gt;""), MAX($K$1:K69)+1, "")</f>
        <v/>
      </c>
    </row>
    <row r="71" spans="1:11" x14ac:dyDescent="0.25">
      <c r="A71" t="str">
        <f t="shared" si="1"/>
        <v/>
      </c>
      <c r="B71" t="str">
        <f>IF(ROW()-1&lt;=$Z$1,
   INDEX(auditor_2!B$2:B$958,$Z$1-(ROW()-2)),
IF(ROW()-1&lt;=$Z$1+$Z$2,
   INDEX(auditor_1!B$2:B$785,$Z$2-(ROW()-$Z$1-2)),
""))</f>
        <v/>
      </c>
      <c r="C71" t="str">
        <f>IFERROR(VLOOKUP(B71,Data!$B:$Q,16,FALSE),"")</f>
        <v/>
      </c>
      <c r="D71" t="str">
        <f>IFERROR(VLOOKUP(B71,Data!$B:$Q,3,FALSE),"")</f>
        <v/>
      </c>
      <c r="E71" t="str">
        <f>IF(B71="","",
IF(ROW()-1&lt;=$Z$1,
   INDEX(auditor_2!F$2:F$958,$Z$1-(ROW()-2)),
   INDEX(auditor_1!F$2:F$785,$Z$2-(ROW()-$Z$1-2))
))</f>
        <v/>
      </c>
      <c r="F71" t="str">
        <f>IF(B71="","",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1" t="str">
        <f>IF(B71="","",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1" t="str">
        <f>IFERROR(VLOOKUP(B71,Data!$B:$Q,15,FALSE),"")</f>
        <v/>
      </c>
      <c r="I71" t="str">
        <f>IF(B71="","",
IF(ROW()-1&lt;=$Z$1,
   INDEX(auditor_2!A$2:A$958,$Z$1-(ROW()-2)),
   INDEX(auditor_1!A$2:A$785,$Z$2-(ROW()-$Z$1-2))
))</f>
        <v/>
      </c>
      <c r="K71" t="str">
        <f>IF(AND(F71&lt;&gt;0, B71&lt;&gt;""), MAX($K$1:K70)+1, "")</f>
        <v/>
      </c>
    </row>
    <row r="72" spans="1:11" x14ac:dyDescent="0.25">
      <c r="A72" t="str">
        <f t="shared" si="1"/>
        <v/>
      </c>
      <c r="B72" t="str">
        <f>IF(ROW()-1&lt;=$Z$1,
   INDEX(auditor_2!B$2:B$958,$Z$1-(ROW()-2)),
IF(ROW()-1&lt;=$Z$1+$Z$2,
   INDEX(auditor_1!B$2:B$785,$Z$2-(ROW()-$Z$1-2)),
""))</f>
        <v/>
      </c>
      <c r="C72" t="str">
        <f>IFERROR(VLOOKUP(B72,Data!$B:$Q,16,FALSE),"")</f>
        <v/>
      </c>
      <c r="D72" t="str">
        <f>IFERROR(VLOOKUP(B72,Data!$B:$Q,3,FALSE),"")</f>
        <v/>
      </c>
      <c r="E72" t="str">
        <f>IF(B72="","",
IF(ROW()-1&lt;=$Z$1,
   INDEX(auditor_2!F$2:F$958,$Z$1-(ROW()-2)),
   INDEX(auditor_1!F$2:F$785,$Z$2-(ROW()-$Z$1-2))
))</f>
        <v/>
      </c>
      <c r="F72" t="str">
        <f>IF(B72="","",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2" t="str">
        <f>IF(B72="","",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2" t="str">
        <f>IFERROR(VLOOKUP(B72,Data!$B:$Q,15,FALSE),"")</f>
        <v/>
      </c>
      <c r="I72" t="str">
        <f>IF(B72="","",
IF(ROW()-1&lt;=$Z$1,
   INDEX(auditor_2!A$2:A$958,$Z$1-(ROW()-2)),
   INDEX(auditor_1!A$2:A$785,$Z$2-(ROW()-$Z$1-2))
))</f>
        <v/>
      </c>
      <c r="K72" t="str">
        <f>IF(AND(F72&lt;&gt;0, B72&lt;&gt;""), MAX($K$1:K71)+1, "")</f>
        <v/>
      </c>
    </row>
    <row r="73" spans="1:11" x14ac:dyDescent="0.25">
      <c r="A73" t="str">
        <f t="shared" si="1"/>
        <v/>
      </c>
      <c r="B73" t="str">
        <f>IF(ROW()-1&lt;=$Z$1,
   INDEX(auditor_2!B$2:B$958,$Z$1-(ROW()-2)),
IF(ROW()-1&lt;=$Z$1+$Z$2,
   INDEX(auditor_1!B$2:B$785,$Z$2-(ROW()-$Z$1-2)),
""))</f>
        <v/>
      </c>
      <c r="C73" t="str">
        <f>IFERROR(VLOOKUP(B73,Data!$B:$Q,16,FALSE),"")</f>
        <v/>
      </c>
      <c r="D73" t="str">
        <f>IFERROR(VLOOKUP(B73,Data!$B:$Q,3,FALSE),"")</f>
        <v/>
      </c>
      <c r="E73" t="str">
        <f>IF(B73="","",
IF(ROW()-1&lt;=$Z$1,
   INDEX(auditor_2!F$2:F$958,$Z$1-(ROW()-2)),
   INDEX(auditor_1!F$2:F$785,$Z$2-(ROW()-$Z$1-2))
))</f>
        <v/>
      </c>
      <c r="F73" t="str">
        <f>IF(B73="","",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3" t="str">
        <f>IF(B73="","",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3" t="str">
        <f>IFERROR(VLOOKUP(B73,Data!$B:$Q,15,FALSE),"")</f>
        <v/>
      </c>
      <c r="I73" t="str">
        <f>IF(B73="","",
IF(ROW()-1&lt;=$Z$1,
   INDEX(auditor_2!A$2:A$958,$Z$1-(ROW()-2)),
   INDEX(auditor_1!A$2:A$785,$Z$2-(ROW()-$Z$1-2))
))</f>
        <v/>
      </c>
      <c r="K73" t="str">
        <f>IF(AND(F73&lt;&gt;0, B73&lt;&gt;""), MAX($K$1:K72)+1, "")</f>
        <v/>
      </c>
    </row>
    <row r="74" spans="1:11" x14ac:dyDescent="0.25">
      <c r="A74" t="str">
        <f t="shared" si="1"/>
        <v/>
      </c>
      <c r="B74" t="str">
        <f>IF(ROW()-1&lt;=$Z$1,
   INDEX(auditor_2!B$2:B$958,$Z$1-(ROW()-2)),
IF(ROW()-1&lt;=$Z$1+$Z$2,
   INDEX(auditor_1!B$2:B$785,$Z$2-(ROW()-$Z$1-2)),
""))</f>
        <v/>
      </c>
      <c r="C74" t="str">
        <f>IFERROR(VLOOKUP(B74,Data!$B:$Q,16,FALSE),"")</f>
        <v/>
      </c>
      <c r="D74" t="str">
        <f>IFERROR(VLOOKUP(B74,Data!$B:$Q,3,FALSE),"")</f>
        <v/>
      </c>
      <c r="E74" t="str">
        <f>IF(B74="","",
IF(ROW()-1&lt;=$Z$1,
   INDEX(auditor_2!F$2:F$958,$Z$1-(ROW()-2)),
   INDEX(auditor_1!F$2:F$785,$Z$2-(ROW()-$Z$1-2))
))</f>
        <v/>
      </c>
      <c r="F74" t="str">
        <f>IF(B74="","",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4" t="str">
        <f>IF(B74="","",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4" t="str">
        <f>IFERROR(VLOOKUP(B74,Data!$B:$Q,15,FALSE),"")</f>
        <v/>
      </c>
      <c r="I74" t="str">
        <f>IF(B74="","",
IF(ROW()-1&lt;=$Z$1,
   INDEX(auditor_2!A$2:A$958,$Z$1-(ROW()-2)),
   INDEX(auditor_1!A$2:A$785,$Z$2-(ROW()-$Z$1-2))
))</f>
        <v/>
      </c>
      <c r="K74" t="str">
        <f>IF(AND(F74&lt;&gt;0, B74&lt;&gt;""), MAX($K$1:K73)+1, "")</f>
        <v/>
      </c>
    </row>
    <row r="75" spans="1:11" x14ac:dyDescent="0.25">
      <c r="A75" t="str">
        <f t="shared" si="1"/>
        <v/>
      </c>
      <c r="B75" t="str">
        <f>IF(ROW()-1&lt;=$Z$1,
   INDEX(auditor_2!B$2:B$958,$Z$1-(ROW()-2)),
IF(ROW()-1&lt;=$Z$1+$Z$2,
   INDEX(auditor_1!B$2:B$785,$Z$2-(ROW()-$Z$1-2)),
""))</f>
        <v/>
      </c>
      <c r="C75" t="str">
        <f>IFERROR(VLOOKUP(B75,Data!$B:$Q,16,FALSE),"")</f>
        <v/>
      </c>
      <c r="D75" t="str">
        <f>IFERROR(VLOOKUP(B75,Data!$B:$Q,3,FALSE),"")</f>
        <v/>
      </c>
      <c r="E75" t="str">
        <f>IF(B75="","",
IF(ROW()-1&lt;=$Z$1,
   INDEX(auditor_2!F$2:F$958,$Z$1-(ROW()-2)),
   INDEX(auditor_1!F$2:F$785,$Z$2-(ROW()-$Z$1-2))
))</f>
        <v/>
      </c>
      <c r="F75" t="str">
        <f>IF(B75="","",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5" t="str">
        <f>IF(B75="","",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5" t="str">
        <f>IFERROR(VLOOKUP(B75,Data!$B:$Q,15,FALSE),"")</f>
        <v/>
      </c>
      <c r="I75" t="str">
        <f>IF(B75="","",
IF(ROW()-1&lt;=$Z$1,
   INDEX(auditor_2!A$2:A$958,$Z$1-(ROW()-2)),
   INDEX(auditor_1!A$2:A$785,$Z$2-(ROW()-$Z$1-2))
))</f>
        <v/>
      </c>
      <c r="K75" t="str">
        <f>IF(AND(F75&lt;&gt;0, B75&lt;&gt;""), MAX($K$1:K74)+1, "")</f>
        <v/>
      </c>
    </row>
    <row r="76" spans="1:11" x14ac:dyDescent="0.25">
      <c r="A76" t="str">
        <f t="shared" si="1"/>
        <v/>
      </c>
      <c r="B76" t="str">
        <f>IF(ROW()-1&lt;=$Z$1,
   INDEX(auditor_2!B$2:B$958,$Z$1-(ROW()-2)),
IF(ROW()-1&lt;=$Z$1+$Z$2,
   INDEX(auditor_1!B$2:B$785,$Z$2-(ROW()-$Z$1-2)),
""))</f>
        <v/>
      </c>
      <c r="C76" t="str">
        <f>IFERROR(VLOOKUP(B76,Data!$B:$Q,16,FALSE),"")</f>
        <v/>
      </c>
      <c r="D76" t="str">
        <f>IFERROR(VLOOKUP(B76,Data!$B:$Q,3,FALSE),"")</f>
        <v/>
      </c>
      <c r="E76" t="str">
        <f>IF(B76="","",
IF(ROW()-1&lt;=$Z$1,
   INDEX(auditor_2!F$2:F$958,$Z$1-(ROW()-2)),
   INDEX(auditor_1!F$2:F$785,$Z$2-(ROW()-$Z$1-2))
))</f>
        <v/>
      </c>
      <c r="F76" t="str">
        <f>IF(B76="","",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6" t="str">
        <f>IF(B76="","",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6" t="str">
        <f>IFERROR(VLOOKUP(B76,Data!$B:$Q,15,FALSE),"")</f>
        <v/>
      </c>
      <c r="I76" t="str">
        <f>IF(B76="","",
IF(ROW()-1&lt;=$Z$1,
   INDEX(auditor_2!A$2:A$958,$Z$1-(ROW()-2)),
   INDEX(auditor_1!A$2:A$785,$Z$2-(ROW()-$Z$1-2))
))</f>
        <v/>
      </c>
      <c r="K76" t="str">
        <f>IF(AND(F76&lt;&gt;0, B76&lt;&gt;""), MAX($K$1:K75)+1, "")</f>
        <v/>
      </c>
    </row>
    <row r="77" spans="1:11" x14ac:dyDescent="0.25">
      <c r="A77" t="str">
        <f t="shared" si="1"/>
        <v/>
      </c>
      <c r="B77" t="str">
        <f>IF(ROW()-1&lt;=$Z$1,
   INDEX(auditor_2!B$2:B$958,$Z$1-(ROW()-2)),
IF(ROW()-1&lt;=$Z$1+$Z$2,
   INDEX(auditor_1!B$2:B$785,$Z$2-(ROW()-$Z$1-2)),
""))</f>
        <v/>
      </c>
      <c r="C77" t="str">
        <f>IFERROR(VLOOKUP(B77,Data!$B:$Q,16,FALSE),"")</f>
        <v/>
      </c>
      <c r="D77" t="str">
        <f>IFERROR(VLOOKUP(B77,Data!$B:$Q,3,FALSE),"")</f>
        <v/>
      </c>
      <c r="E77" t="str">
        <f>IF(B77="","",
IF(ROW()-1&lt;=$Z$1,
   INDEX(auditor_2!F$2:F$958,$Z$1-(ROW()-2)),
   INDEX(auditor_1!F$2:F$785,$Z$2-(ROW()-$Z$1-2))
))</f>
        <v/>
      </c>
      <c r="F77" t="str">
        <f>IF(B77="","",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7" t="str">
        <f>IF(B77="","",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7" t="str">
        <f>IFERROR(VLOOKUP(B77,Data!$B:$Q,15,FALSE),"")</f>
        <v/>
      </c>
      <c r="I77" t="str">
        <f>IF(B77="","",
IF(ROW()-1&lt;=$Z$1,
   INDEX(auditor_2!A$2:A$958,$Z$1-(ROW()-2)),
   INDEX(auditor_1!A$2:A$785,$Z$2-(ROW()-$Z$1-2))
))</f>
        <v/>
      </c>
      <c r="K77" t="str">
        <f>IF(AND(F77&lt;&gt;0, B77&lt;&gt;""), MAX($K$1:K76)+1, "")</f>
        <v/>
      </c>
    </row>
    <row r="78" spans="1:11" x14ac:dyDescent="0.25">
      <c r="A78" t="str">
        <f t="shared" si="1"/>
        <v/>
      </c>
      <c r="B78" t="str">
        <f>IF(ROW()-1&lt;=$Z$1,
   INDEX(auditor_2!B$2:B$958,$Z$1-(ROW()-2)),
IF(ROW()-1&lt;=$Z$1+$Z$2,
   INDEX(auditor_1!B$2:B$785,$Z$2-(ROW()-$Z$1-2)),
""))</f>
        <v/>
      </c>
      <c r="C78" t="str">
        <f>IFERROR(VLOOKUP(B78,Data!$B:$Q,16,FALSE),"")</f>
        <v/>
      </c>
      <c r="D78" t="str">
        <f>IFERROR(VLOOKUP(B78,Data!$B:$Q,3,FALSE),"")</f>
        <v/>
      </c>
      <c r="E78" t="str">
        <f>IF(B78="","",
IF(ROW()-1&lt;=$Z$1,
   INDEX(auditor_2!F$2:F$958,$Z$1-(ROW()-2)),
   INDEX(auditor_1!F$2:F$785,$Z$2-(ROW()-$Z$1-2))
))</f>
        <v/>
      </c>
      <c r="F78" t="str">
        <f>IF(B78="","",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8" t="str">
        <f>IF(B78="","",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8" t="str">
        <f>IFERROR(VLOOKUP(B78,Data!$B:$Q,15,FALSE),"")</f>
        <v/>
      </c>
      <c r="I78" t="str">
        <f>IF(B78="","",
IF(ROW()-1&lt;=$Z$1,
   INDEX(auditor_2!A$2:A$958,$Z$1-(ROW()-2)),
   INDEX(auditor_1!A$2:A$785,$Z$2-(ROW()-$Z$1-2))
))</f>
        <v/>
      </c>
      <c r="K78" t="str">
        <f>IF(AND(F78&lt;&gt;0, B78&lt;&gt;""), MAX($K$1:K77)+1, "")</f>
        <v/>
      </c>
    </row>
    <row r="79" spans="1:11" x14ac:dyDescent="0.25">
      <c r="A79" t="str">
        <f t="shared" si="1"/>
        <v/>
      </c>
      <c r="B79" t="str">
        <f>IF(ROW()-1&lt;=$Z$1,
   INDEX(auditor_2!B$2:B$958,$Z$1-(ROW()-2)),
IF(ROW()-1&lt;=$Z$1+$Z$2,
   INDEX(auditor_1!B$2:B$785,$Z$2-(ROW()-$Z$1-2)),
""))</f>
        <v/>
      </c>
      <c r="C79" t="str">
        <f>IFERROR(VLOOKUP(B79,Data!$B:$Q,16,FALSE),"")</f>
        <v/>
      </c>
      <c r="D79" t="str">
        <f>IFERROR(VLOOKUP(B79,Data!$B:$Q,3,FALSE),"")</f>
        <v/>
      </c>
      <c r="E79" t="str">
        <f>IF(B79="","",
IF(ROW()-1&lt;=$Z$1,
   INDEX(auditor_2!F$2:F$958,$Z$1-(ROW()-2)),
   INDEX(auditor_1!F$2:F$785,$Z$2-(ROW()-$Z$1-2))
))</f>
        <v/>
      </c>
      <c r="F79" t="str">
        <f>IF(B79="","",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9" t="str">
        <f>IF(B79="","",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9" t="str">
        <f>IFERROR(VLOOKUP(B79,Data!$B:$Q,15,FALSE),"")</f>
        <v/>
      </c>
      <c r="I79" t="str">
        <f>IF(B79="","",
IF(ROW()-1&lt;=$Z$1,
   INDEX(auditor_2!A$2:A$958,$Z$1-(ROW()-2)),
   INDEX(auditor_1!A$2:A$785,$Z$2-(ROW()-$Z$1-2))
))</f>
        <v/>
      </c>
      <c r="K79" t="str">
        <f>IF(AND(F79&lt;&gt;0, B79&lt;&gt;""), MAX($K$1:K78)+1, "")</f>
        <v/>
      </c>
    </row>
    <row r="80" spans="1:11" x14ac:dyDescent="0.25">
      <c r="A80" t="str">
        <f t="shared" si="1"/>
        <v/>
      </c>
      <c r="B80" t="str">
        <f>IF(ROW()-1&lt;=$Z$1,
   INDEX(auditor_2!B$2:B$958,$Z$1-(ROW()-2)),
IF(ROW()-1&lt;=$Z$1+$Z$2,
   INDEX(auditor_1!B$2:B$785,$Z$2-(ROW()-$Z$1-2)),
""))</f>
        <v/>
      </c>
      <c r="C80" t="str">
        <f>IFERROR(VLOOKUP(B80,Data!$B:$Q,16,FALSE),"")</f>
        <v/>
      </c>
      <c r="D80" t="str">
        <f>IFERROR(VLOOKUP(B80,Data!$B:$Q,3,FALSE),"")</f>
        <v/>
      </c>
      <c r="E80" t="str">
        <f>IF(B80="","",
IF(ROW()-1&lt;=$Z$1,
   INDEX(auditor_2!F$2:F$958,$Z$1-(ROW()-2)),
   INDEX(auditor_1!F$2:F$785,$Z$2-(ROW()-$Z$1-2))
))</f>
        <v/>
      </c>
      <c r="F80" t="str">
        <f>IF(B80="","",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0" t="str">
        <f>IF(B80="","",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0" t="str">
        <f>IFERROR(VLOOKUP(B80,Data!$B:$Q,15,FALSE),"")</f>
        <v/>
      </c>
      <c r="I80" t="str">
        <f>IF(B80="","",
IF(ROW()-1&lt;=$Z$1,
   INDEX(auditor_2!A$2:A$958,$Z$1-(ROW()-2)),
   INDEX(auditor_1!A$2:A$785,$Z$2-(ROW()-$Z$1-2))
))</f>
        <v/>
      </c>
      <c r="K80" t="str">
        <f>IF(AND(F80&lt;&gt;0, B80&lt;&gt;""), MAX($K$1:K79)+1, "")</f>
        <v/>
      </c>
    </row>
    <row r="81" spans="1:11" x14ac:dyDescent="0.25">
      <c r="A81" t="str">
        <f t="shared" si="1"/>
        <v/>
      </c>
      <c r="B81" t="str">
        <f>IF(ROW()-1&lt;=$Z$1,
   INDEX(auditor_2!B$2:B$958,$Z$1-(ROW()-2)),
IF(ROW()-1&lt;=$Z$1+$Z$2,
   INDEX(auditor_1!B$2:B$785,$Z$2-(ROW()-$Z$1-2)),
""))</f>
        <v/>
      </c>
      <c r="C81" t="str">
        <f>IFERROR(VLOOKUP(B81,Data!$B:$Q,16,FALSE),"")</f>
        <v/>
      </c>
      <c r="D81" t="str">
        <f>IFERROR(VLOOKUP(B81,Data!$B:$Q,3,FALSE),"")</f>
        <v/>
      </c>
      <c r="E81" t="str">
        <f>IF(B81="","",
IF(ROW()-1&lt;=$Z$1,
   INDEX(auditor_2!F$2:F$958,$Z$1-(ROW()-2)),
   INDEX(auditor_1!F$2:F$785,$Z$2-(ROW()-$Z$1-2))
))</f>
        <v/>
      </c>
      <c r="F81" t="str">
        <f>IF(B81="","",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1" t="str">
        <f>IF(B81="","",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1" t="str">
        <f>IFERROR(VLOOKUP(B81,Data!$B:$Q,15,FALSE),"")</f>
        <v/>
      </c>
      <c r="I81" t="str">
        <f>IF(B81="","",
IF(ROW()-1&lt;=$Z$1,
   INDEX(auditor_2!A$2:A$958,$Z$1-(ROW()-2)),
   INDEX(auditor_1!A$2:A$785,$Z$2-(ROW()-$Z$1-2))
))</f>
        <v/>
      </c>
      <c r="K81" t="str">
        <f>IF(AND(F81&lt;&gt;0, B81&lt;&gt;""), MAX($K$1:K80)+1, "")</f>
        <v/>
      </c>
    </row>
    <row r="82" spans="1:11" x14ac:dyDescent="0.25">
      <c r="A82" t="str">
        <f t="shared" si="1"/>
        <v/>
      </c>
      <c r="B82" t="str">
        <f>IF(ROW()-1&lt;=$Z$1,
   INDEX(auditor_2!B$2:B$958,$Z$1-(ROW()-2)),
IF(ROW()-1&lt;=$Z$1+$Z$2,
   INDEX(auditor_1!B$2:B$785,$Z$2-(ROW()-$Z$1-2)),
""))</f>
        <v/>
      </c>
      <c r="C82" t="str">
        <f>IFERROR(VLOOKUP(B82,Data!$B:$Q,16,FALSE),"")</f>
        <v/>
      </c>
      <c r="D82" t="str">
        <f>IFERROR(VLOOKUP(B82,Data!$B:$Q,3,FALSE),"")</f>
        <v/>
      </c>
      <c r="E82" t="str">
        <f>IF(B82="","",
IF(ROW()-1&lt;=$Z$1,
   INDEX(auditor_2!F$2:F$958,$Z$1-(ROW()-2)),
   INDEX(auditor_1!F$2:F$785,$Z$2-(ROW()-$Z$1-2))
))</f>
        <v/>
      </c>
      <c r="F82" t="str">
        <f>IF(B82="","",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2" t="str">
        <f>IF(B82="","",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2" t="str">
        <f>IFERROR(VLOOKUP(B82,Data!$B:$Q,15,FALSE),"")</f>
        <v/>
      </c>
      <c r="I82" t="str">
        <f>IF(B82="","",
IF(ROW()-1&lt;=$Z$1,
   INDEX(auditor_2!A$2:A$958,$Z$1-(ROW()-2)),
   INDEX(auditor_1!A$2:A$785,$Z$2-(ROW()-$Z$1-2))
))</f>
        <v/>
      </c>
      <c r="K82" t="str">
        <f>IF(AND(F82&lt;&gt;0, B82&lt;&gt;""), MAX($K$1:K81)+1, "")</f>
        <v/>
      </c>
    </row>
    <row r="83" spans="1:11" x14ac:dyDescent="0.25">
      <c r="A83" t="str">
        <f t="shared" si="1"/>
        <v/>
      </c>
      <c r="B83" t="str">
        <f>IF(ROW()-1&lt;=$Z$1,
   INDEX(auditor_2!B$2:B$958,$Z$1-(ROW()-2)),
IF(ROW()-1&lt;=$Z$1+$Z$2,
   INDEX(auditor_1!B$2:B$785,$Z$2-(ROW()-$Z$1-2)),
""))</f>
        <v/>
      </c>
      <c r="C83" t="str">
        <f>IFERROR(VLOOKUP(B83,Data!$B:$Q,16,FALSE),"")</f>
        <v/>
      </c>
      <c r="D83" t="str">
        <f>IFERROR(VLOOKUP(B83,Data!$B:$Q,3,FALSE),"")</f>
        <v/>
      </c>
      <c r="E83" t="str">
        <f>IF(B83="","",
IF(ROW()-1&lt;=$Z$1,
   INDEX(auditor_2!F$2:F$958,$Z$1-(ROW()-2)),
   INDEX(auditor_1!F$2:F$785,$Z$2-(ROW()-$Z$1-2))
))</f>
        <v/>
      </c>
      <c r="F83" t="str">
        <f>IF(B83="","",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3" t="str">
        <f>IF(B83="","",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3" t="str">
        <f>IFERROR(VLOOKUP(B83,Data!$B:$Q,15,FALSE),"")</f>
        <v/>
      </c>
      <c r="I83" t="str">
        <f>IF(B83="","",
IF(ROW()-1&lt;=$Z$1,
   INDEX(auditor_2!A$2:A$958,$Z$1-(ROW()-2)),
   INDEX(auditor_1!A$2:A$785,$Z$2-(ROW()-$Z$1-2))
))</f>
        <v/>
      </c>
      <c r="K83" t="str">
        <f>IF(AND(F83&lt;&gt;0, B83&lt;&gt;""), MAX($K$1:K82)+1, "")</f>
        <v/>
      </c>
    </row>
    <row r="84" spans="1:11" x14ac:dyDescent="0.25">
      <c r="A84" t="str">
        <f t="shared" si="1"/>
        <v/>
      </c>
      <c r="B84" t="str">
        <f>IF(ROW()-1&lt;=$Z$1,
   INDEX(auditor_2!B$2:B$958,$Z$1-(ROW()-2)),
IF(ROW()-1&lt;=$Z$1+$Z$2,
   INDEX(auditor_1!B$2:B$785,$Z$2-(ROW()-$Z$1-2)),
""))</f>
        <v/>
      </c>
      <c r="C84" t="str">
        <f>IFERROR(VLOOKUP(B84,Data!$B:$Q,16,FALSE),"")</f>
        <v/>
      </c>
      <c r="D84" t="str">
        <f>IFERROR(VLOOKUP(B84,Data!$B:$Q,3,FALSE),"")</f>
        <v/>
      </c>
      <c r="E84" t="str">
        <f>IF(B84="","",
IF(ROW()-1&lt;=$Z$1,
   INDEX(auditor_2!F$2:F$958,$Z$1-(ROW()-2)),
   INDEX(auditor_1!F$2:F$785,$Z$2-(ROW()-$Z$1-2))
))</f>
        <v/>
      </c>
      <c r="F84" t="str">
        <f>IF(B84="","",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4" t="str">
        <f>IF(B84="","",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4" t="str">
        <f>IFERROR(VLOOKUP(B84,Data!$B:$Q,15,FALSE),"")</f>
        <v/>
      </c>
      <c r="I84" t="str">
        <f>IF(B84="","",
IF(ROW()-1&lt;=$Z$1,
   INDEX(auditor_2!A$2:A$958,$Z$1-(ROW()-2)),
   INDEX(auditor_1!A$2:A$785,$Z$2-(ROW()-$Z$1-2))
))</f>
        <v/>
      </c>
      <c r="K84" t="str">
        <f>IF(AND(F84&lt;&gt;0, B84&lt;&gt;""), MAX($K$1:K83)+1, "")</f>
        <v/>
      </c>
    </row>
    <row r="85" spans="1:11" x14ac:dyDescent="0.25">
      <c r="A85" t="str">
        <f t="shared" si="1"/>
        <v/>
      </c>
      <c r="B85" t="str">
        <f>IF(ROW()-1&lt;=$Z$1,
   INDEX(auditor_2!B$2:B$958,$Z$1-(ROW()-2)),
IF(ROW()-1&lt;=$Z$1+$Z$2,
   INDEX(auditor_1!B$2:B$785,$Z$2-(ROW()-$Z$1-2)),
""))</f>
        <v/>
      </c>
      <c r="C85" t="str">
        <f>IFERROR(VLOOKUP(B85,Data!$B:$Q,16,FALSE),"")</f>
        <v/>
      </c>
      <c r="D85" t="str">
        <f>IFERROR(VLOOKUP(B85,Data!$B:$Q,3,FALSE),"")</f>
        <v/>
      </c>
      <c r="E85" t="str">
        <f>IF(B85="","",
IF(ROW()-1&lt;=$Z$1,
   INDEX(auditor_2!F$2:F$958,$Z$1-(ROW()-2)),
   INDEX(auditor_1!F$2:F$785,$Z$2-(ROW()-$Z$1-2))
))</f>
        <v/>
      </c>
      <c r="F85" t="str">
        <f>IF(B85="","",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5" t="str">
        <f>IF(B85="","",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5" t="str">
        <f>IFERROR(VLOOKUP(B85,Data!$B:$Q,15,FALSE),"")</f>
        <v/>
      </c>
      <c r="I85" t="str">
        <f>IF(B85="","",
IF(ROW()-1&lt;=$Z$1,
   INDEX(auditor_2!A$2:A$958,$Z$1-(ROW()-2)),
   INDEX(auditor_1!A$2:A$785,$Z$2-(ROW()-$Z$1-2))
))</f>
        <v/>
      </c>
      <c r="K85" t="str">
        <f>IF(AND(F85&lt;&gt;0, B85&lt;&gt;""), MAX($K$1:K84)+1, "")</f>
        <v/>
      </c>
    </row>
    <row r="86" spans="1:11" x14ac:dyDescent="0.25">
      <c r="A86" t="str">
        <f t="shared" si="1"/>
        <v/>
      </c>
      <c r="B86" t="str">
        <f>IF(ROW()-1&lt;=$Z$1,
   INDEX(auditor_2!B$2:B$958,$Z$1-(ROW()-2)),
IF(ROW()-1&lt;=$Z$1+$Z$2,
   INDEX(auditor_1!B$2:B$785,$Z$2-(ROW()-$Z$1-2)),
""))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  <c r="K86" t="str">
        <f>IF(AND(F86&lt;&gt;0, B86&lt;&gt;""), MAX($K$1:K85)+1, "")</f>
        <v/>
      </c>
    </row>
    <row r="87" spans="1:11" x14ac:dyDescent="0.25">
      <c r="A87" t="str">
        <f t="shared" si="1"/>
        <v/>
      </c>
      <c r="B87" t="str">
        <f>IF(ROW()-1&lt;=$Z$1,
   INDEX(auditor_2!B$2:B$958,$Z$1-(ROW()-2)),
IF(ROW()-1&lt;=$Z$1+$Z$2,
   INDEX(auditor_1!B$2:B$785,$Z$2-(ROW()-$Z$1-2)),
""))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  <c r="K87" t="str">
        <f>IF(AND(F87&lt;&gt;0, B87&lt;&gt;""), MAX($K$1:K86)+1, "")</f>
        <v/>
      </c>
    </row>
    <row r="88" spans="1:11" x14ac:dyDescent="0.25">
      <c r="A88" t="str">
        <f t="shared" si="1"/>
        <v/>
      </c>
      <c r="B88" t="str">
        <f>IF(ROW()-1&lt;=$Z$1,
   INDEX(auditor_2!B$2:B$958,$Z$1-(ROW()-2)),
IF(ROW()-1&lt;=$Z$1+$Z$2,
   INDEX(auditor_1!B$2:B$785,$Z$2-(ROW()-$Z$1-2)),
""))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  <c r="K88" t="str">
        <f>IF(AND(F88&lt;&gt;0, B88&lt;&gt;""), MAX($K$1:K87)+1, "")</f>
        <v/>
      </c>
    </row>
    <row r="89" spans="1:11" x14ac:dyDescent="0.25">
      <c r="A89" t="str">
        <f t="shared" si="1"/>
        <v/>
      </c>
      <c r="B89" t="str">
        <f>IF(ROW()-1&lt;=$Z$1,
   INDEX(auditor_2!B$2:B$958,$Z$1-(ROW()-2)),
IF(ROW()-1&lt;=$Z$1+$Z$2,
   INDEX(auditor_1!B$2:B$785,$Z$2-(ROW()-$Z$1-2)),
""))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  <c r="K89" t="str">
        <f>IF(AND(F89&lt;&gt;0, B89&lt;&gt;""), MAX($K$1:K88)+1, "")</f>
        <v/>
      </c>
    </row>
    <row r="90" spans="1:11" x14ac:dyDescent="0.25">
      <c r="A90" t="str">
        <f t="shared" si="1"/>
        <v/>
      </c>
      <c r="B90" t="str">
        <f>IF(ROW()-1&lt;=$Z$1,
   INDEX(auditor_2!B$2:B$958,$Z$1-(ROW()-2)),
IF(ROW()-1&lt;=$Z$1+$Z$2,
   INDEX(auditor_1!B$2:B$785,$Z$2-(ROW()-$Z$1-2)),
""))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  <c r="K90" t="str">
        <f>IF(AND(F90&lt;&gt;0, B90&lt;&gt;""), MAX($K$1:K89)+1, "")</f>
        <v/>
      </c>
    </row>
    <row r="91" spans="1:11" x14ac:dyDescent="0.25">
      <c r="A91" t="str">
        <f t="shared" si="1"/>
        <v/>
      </c>
      <c r="B91" t="str">
        <f>IF(ROW()-1&lt;=$Z$1,
   INDEX(auditor_2!B$2:B$958,$Z$1-(ROW()-2)),
IF(ROW()-1&lt;=$Z$1+$Z$2,
   INDEX(auditor_1!B$2:B$785,$Z$2-(ROW()-$Z$1-2)),
""))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  <c r="K91" t="str">
        <f>IF(AND(F91&lt;&gt;0, B91&lt;&gt;""), MAX($K$1:K90)+1, "")</f>
        <v/>
      </c>
    </row>
    <row r="92" spans="1:11" x14ac:dyDescent="0.25">
      <c r="A92" t="str">
        <f t="shared" si="1"/>
        <v/>
      </c>
      <c r="B92" t="str">
        <f>IF(ROW()-1&lt;=$Z$1,
   INDEX(auditor_2!B$2:B$958,$Z$1-(ROW()-2)),
IF(ROW()-1&lt;=$Z$1+$Z$2,
   INDEX(auditor_1!B$2:B$785,$Z$2-(ROW()-$Z$1-2)),
""))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  <c r="K92" t="str">
        <f>IF(AND(F92&lt;&gt;0, B92&lt;&gt;""), MAX($K$1:K91)+1, "")</f>
        <v/>
      </c>
    </row>
    <row r="93" spans="1:11" x14ac:dyDescent="0.25">
      <c r="A93" t="str">
        <f t="shared" si="1"/>
        <v/>
      </c>
      <c r="B93" t="str">
        <f>IF(ROW()-1&lt;=$Z$1,
   INDEX(auditor_2!B$2:B$958,$Z$1-(ROW()-2)),
IF(ROW()-1&lt;=$Z$1+$Z$2,
   INDEX(auditor_1!B$2:B$785,$Z$2-(ROW()-$Z$1-2)),
""))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  <c r="K93" t="str">
        <f>IF(AND(F93&lt;&gt;0, B93&lt;&gt;""), MAX($K$1:K92)+1, "")</f>
        <v/>
      </c>
    </row>
    <row r="94" spans="1:11" x14ac:dyDescent="0.25">
      <c r="A94" t="str">
        <f t="shared" si="1"/>
        <v/>
      </c>
      <c r="B94" t="str">
        <f>IF(ROW()-1&lt;=$Z$1,
   INDEX(auditor_2!B$2:B$958,$Z$1-(ROW()-2)),
IF(ROW()-1&lt;=$Z$1+$Z$2,
   INDEX(auditor_1!B$2:B$785,$Z$2-(ROW()-$Z$1-2)),
""))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  <c r="K94" t="str">
        <f>IF(AND(F94&lt;&gt;0, B94&lt;&gt;""), MAX($K$1:K93)+1, "")</f>
        <v/>
      </c>
    </row>
    <row r="95" spans="1:11" x14ac:dyDescent="0.25">
      <c r="A95" t="str">
        <f t="shared" si="1"/>
        <v/>
      </c>
      <c r="B95" t="str">
        <f>IF(ROW()-1&lt;=$Z$1,
   INDEX(auditor_2!B$2:B$958,$Z$1-(ROW()-2)),
IF(ROW()-1&lt;=$Z$1+$Z$2,
   INDEX(auditor_1!B$2:B$785,$Z$2-(ROW()-$Z$1-2)),
""))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  <c r="K95" t="str">
        <f>IF(AND(F95&lt;&gt;0, B95&lt;&gt;""), MAX($K$1:K94)+1, "")</f>
        <v/>
      </c>
    </row>
    <row r="96" spans="1:11" x14ac:dyDescent="0.25">
      <c r="A96" t="str">
        <f t="shared" si="1"/>
        <v/>
      </c>
      <c r="B96" t="str">
        <f>IF(ROW()-1&lt;=$Z$1,
   INDEX(auditor_2!B$2:B$958,$Z$1-(ROW()-2)),
IF(ROW()-1&lt;=$Z$1+$Z$2,
   INDEX(auditor_1!B$2:B$785,$Z$2-(ROW()-$Z$1-2)),
""))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  <c r="K96" t="str">
        <f>IF(AND(F96&lt;&gt;0, B96&lt;&gt;""), MAX($K$1:K95)+1, "")</f>
        <v/>
      </c>
    </row>
    <row r="97" spans="1:11" x14ac:dyDescent="0.25">
      <c r="A97" t="str">
        <f t="shared" si="1"/>
        <v/>
      </c>
      <c r="B97" t="str">
        <f>IF(ROW()-1&lt;=$Z$1,
   INDEX(auditor_2!B$2:B$958,$Z$1-(ROW()-2)),
IF(ROW()-1&lt;=$Z$1+$Z$2,
   INDEX(auditor_1!B$2:B$785,$Z$2-(ROW()-$Z$1-2)),
""))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  <c r="K97" t="str">
        <f>IF(AND(F97&lt;&gt;0, B97&lt;&gt;""), MAX($K$1:K96)+1, "")</f>
        <v/>
      </c>
    </row>
    <row r="98" spans="1:11" x14ac:dyDescent="0.25">
      <c r="A98" t="str">
        <f t="shared" si="1"/>
        <v/>
      </c>
      <c r="B98" t="str">
        <f>IF(ROW()-1&lt;=$Z$1,
   INDEX(auditor_2!B$2:B$958,$Z$1-(ROW()-2)),
IF(ROW()-1&lt;=$Z$1+$Z$2,
   INDEX(auditor_1!B$2:B$785,$Z$2-(ROW()-$Z$1-2)),
""))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  <c r="K98" t="str">
        <f>IF(AND(F98&lt;&gt;0, B98&lt;&gt;""), MAX($K$1:K97)+1, "")</f>
        <v/>
      </c>
    </row>
    <row r="99" spans="1:11" x14ac:dyDescent="0.25">
      <c r="A99" t="str">
        <f t="shared" si="1"/>
        <v/>
      </c>
      <c r="B99" t="str">
        <f>IF(ROW()-1&lt;=$Z$1,
   INDEX(auditor_2!B$2:B$958,$Z$1-(ROW()-2)),
IF(ROW()-1&lt;=$Z$1+$Z$2,
   INDEX(auditor_1!B$2:B$785,$Z$2-(ROW()-$Z$1-2)),
""))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  <c r="K99" t="str">
        <f>IF(AND(F99&lt;&gt;0, B99&lt;&gt;""), MAX($K$1:K98)+1, "")</f>
        <v/>
      </c>
    </row>
    <row r="100" spans="1:11" x14ac:dyDescent="0.25">
      <c r="A100" t="str">
        <f t="shared" si="1"/>
        <v/>
      </c>
      <c r="B100" t="str">
        <f>IF(ROW()-1&lt;=$Z$1,
   INDEX(auditor_2!B$2:B$958,$Z$1-(ROW()-2)),
IF(ROW()-1&lt;=$Z$1+$Z$2,
   INDEX(auditor_1!B$2:B$785,$Z$2-(ROW()-$Z$1-2)),
""))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  <c r="K100" t="str">
        <f>IF(AND(F100&lt;&gt;0, B100&lt;&gt;""), MAX($K$1:K99)+1, "")</f>
        <v/>
      </c>
    </row>
    <row r="101" spans="1:11" x14ac:dyDescent="0.25">
      <c r="A101" t="str">
        <f t="shared" si="1"/>
        <v/>
      </c>
      <c r="B101" t="str">
        <f>IF(ROW()-1&lt;=$Z$1,
   INDEX(auditor_2!B$2:B$958,$Z$1-(ROW()-2)),
IF(ROW()-1&lt;=$Z$1+$Z$2,
   INDEX(auditor_1!B$2:B$785,$Z$2-(ROW()-$Z$1-2)),
""))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  <c r="K101" t="str">
        <f>IF(AND(F101&lt;&gt;0, B101&lt;&gt;""), MAX($K$1:K100)+1, "")</f>
        <v/>
      </c>
    </row>
    <row r="102" spans="1:11" x14ac:dyDescent="0.25">
      <c r="A102" t="str">
        <f t="shared" si="1"/>
        <v/>
      </c>
      <c r="B102" t="str">
        <f>IF(ROW()-1&lt;=$Z$1,
   INDEX(auditor_2!B$2:B$958,$Z$1-(ROW()-2)),
IF(ROW()-1&lt;=$Z$1+$Z$2,
   INDEX(auditor_1!B$2:B$785,$Z$2-(ROW()-$Z$1-2)),
""))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  <c r="K102" t="str">
        <f>IF(AND(F102&lt;&gt;0, B102&lt;&gt;""), MAX($K$1:K101)+1, "")</f>
        <v/>
      </c>
    </row>
    <row r="103" spans="1:11" x14ac:dyDescent="0.25">
      <c r="A103" t="str">
        <f t="shared" si="1"/>
        <v/>
      </c>
      <c r="B103" t="str">
        <f>IF(ROW()-1&lt;=$Z$1,
   INDEX(auditor_2!B$2:B$958,$Z$1-(ROW()-2)),
IF(ROW()-1&lt;=$Z$1+$Z$2,
   INDEX(auditor_1!B$2:B$785,$Z$2-(ROW()-$Z$1-2)),
""))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  <c r="K103" t="str">
        <f>IF(AND(F103&lt;&gt;0, B103&lt;&gt;""), MAX($K$1:K102)+1, "")</f>
        <v/>
      </c>
    </row>
    <row r="104" spans="1:11" x14ac:dyDescent="0.25">
      <c r="A104" t="str">
        <f t="shared" si="1"/>
        <v/>
      </c>
      <c r="B104" t="str">
        <f>IF(ROW()-1&lt;=$Z$1,
   INDEX(auditor_2!B$2:B$958,$Z$1-(ROW()-2)),
IF(ROW()-1&lt;=$Z$1+$Z$2,
   INDEX(auditor_1!B$2:B$785,$Z$2-(ROW()-$Z$1-2)),
""))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  <c r="K104" t="str">
        <f>IF(AND(F104&lt;&gt;0, B104&lt;&gt;""), MAX($K$1:K103)+1, "")</f>
        <v/>
      </c>
    </row>
    <row r="105" spans="1:11" x14ac:dyDescent="0.25">
      <c r="A105" t="str">
        <f t="shared" si="1"/>
        <v/>
      </c>
      <c r="B105" t="str">
        <f>IF(ROW()-1&lt;=$Z$1,
   INDEX(auditor_2!B$2:B$958,$Z$1-(ROW()-2)),
IF(ROW()-1&lt;=$Z$1+$Z$2,
   INDEX(auditor_1!B$2:B$785,$Z$2-(ROW()-$Z$1-2)),
""))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  <c r="K105" t="str">
        <f>IF(AND(F105&lt;&gt;0, B105&lt;&gt;""), MAX($K$1:K104)+1, "")</f>
        <v/>
      </c>
    </row>
    <row r="106" spans="1:11" x14ac:dyDescent="0.25">
      <c r="A106" t="str">
        <f t="shared" si="1"/>
        <v/>
      </c>
      <c r="B106" t="str">
        <f>IF(ROW()-1&lt;=$Z$1,
   INDEX(auditor_2!B$2:B$958,$Z$1-(ROW()-2)),
IF(ROW()-1&lt;=$Z$1+$Z$2,
   INDEX(auditor_1!B$2:B$785,$Z$2-(ROW()-$Z$1-2)),
""))</f>
        <v/>
      </c>
      <c r="C106" t="str">
        <f>IFERROR(VLOOKUP(B106,Data!$B:$Q,16,FALSE),"")</f>
        <v/>
      </c>
      <c r="D106" t="str">
        <f>IFERROR(VLOOKUP(B106,Data!$B:$Q,3,FALSE),"")</f>
        <v/>
      </c>
      <c r="E106" t="str">
        <f>IF(B106="","",
IF(ROW()-1&lt;=$Z$1,
   INDEX(auditor_2!F$2:F$958,$Z$1-(ROW()-2)),
   INDEX(auditor_1!F$2:F$785,$Z$2-(ROW()-$Z$1-2))
))</f>
        <v/>
      </c>
      <c r="F106" t="str">
        <f>IF(B106="","",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6" t="str">
        <f>IF(B106="","",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6" t="str">
        <f>IFERROR(VLOOKUP(B106,Data!$B:$Q,15,FALSE),"")</f>
        <v/>
      </c>
      <c r="I106" t="str">
        <f>IF(B106="","",
IF(ROW()-1&lt;=$Z$1,
   INDEX(auditor_2!A$2:A$958,$Z$1-(ROW()-2)),
   INDEX(auditor_1!A$2:A$785,$Z$2-(ROW()-$Z$1-2))
))</f>
        <v/>
      </c>
      <c r="K106" t="str">
        <f>IF(AND(F106&lt;&gt;0, B106&lt;&gt;""), MAX($K$1:K105)+1, "")</f>
        <v/>
      </c>
    </row>
    <row r="107" spans="1:11" x14ac:dyDescent="0.25">
      <c r="A107" t="str">
        <f t="shared" si="1"/>
        <v/>
      </c>
      <c r="B107" t="str">
        <f>IF(ROW()-1&lt;=$Z$1,
   INDEX(auditor_2!B$2:B$958,$Z$1-(ROW()-2)),
IF(ROW()-1&lt;=$Z$1+$Z$2,
   INDEX(auditor_1!B$2:B$785,$Z$2-(ROW()-$Z$1-2)),
""))</f>
        <v/>
      </c>
      <c r="C107" t="str">
        <f>IFERROR(VLOOKUP(B107,Data!$B:$Q,16,FALSE),"")</f>
        <v/>
      </c>
      <c r="D107" t="str">
        <f>IFERROR(VLOOKUP(B107,Data!$B:$Q,3,FALSE),"")</f>
        <v/>
      </c>
      <c r="E107" t="str">
        <f>IF(B107="","",
IF(ROW()-1&lt;=$Z$1,
   INDEX(auditor_2!F$2:F$958,$Z$1-(ROW()-2)),
   INDEX(auditor_1!F$2:F$785,$Z$2-(ROW()-$Z$1-2))
))</f>
        <v/>
      </c>
      <c r="F107" t="str">
        <f>IF(B107="","",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7" t="str">
        <f>IF(B107="","",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7" t="str">
        <f>IFERROR(VLOOKUP(B107,Data!$B:$Q,15,FALSE),"")</f>
        <v/>
      </c>
      <c r="I107" t="str">
        <f>IF(B107="","",
IF(ROW()-1&lt;=$Z$1,
   INDEX(auditor_2!A$2:A$958,$Z$1-(ROW()-2)),
   INDEX(auditor_1!A$2:A$785,$Z$2-(ROW()-$Z$1-2))
))</f>
        <v/>
      </c>
      <c r="K107" t="str">
        <f>IF(AND(F107&lt;&gt;0, B107&lt;&gt;""), MAX($K$1:K106)+1, "")</f>
        <v/>
      </c>
    </row>
    <row r="108" spans="1:11" x14ac:dyDescent="0.25">
      <c r="A108" t="str">
        <f t="shared" si="1"/>
        <v/>
      </c>
      <c r="B108" t="str">
        <f>IF(ROW()-1&lt;=$Z$1,
   INDEX(auditor_2!B$2:B$958,$Z$1-(ROW()-2)),
IF(ROW()-1&lt;=$Z$1+$Z$2,
   INDEX(auditor_1!B$2:B$785,$Z$2-(ROW()-$Z$1-2)),
""))</f>
        <v/>
      </c>
      <c r="C108" t="str">
        <f>IFERROR(VLOOKUP(B108,Data!$B:$Q,16,FALSE),"")</f>
        <v/>
      </c>
      <c r="D108" t="str">
        <f>IFERROR(VLOOKUP(B108,Data!$B:$Q,3,FALSE),"")</f>
        <v/>
      </c>
      <c r="E108" t="str">
        <f>IF(B108="","",
IF(ROW()-1&lt;=$Z$1,
   INDEX(auditor_2!F$2:F$958,$Z$1-(ROW()-2)),
   INDEX(auditor_1!F$2:F$785,$Z$2-(ROW()-$Z$1-2))
))</f>
        <v/>
      </c>
      <c r="F108" t="str">
        <f>IF(B108="","",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8" t="str">
        <f>IF(B108="","",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8" t="str">
        <f>IFERROR(VLOOKUP(B108,Data!$B:$Q,15,FALSE),"")</f>
        <v/>
      </c>
      <c r="I108" t="str">
        <f>IF(B108="","",
IF(ROW()-1&lt;=$Z$1,
   INDEX(auditor_2!A$2:A$958,$Z$1-(ROW()-2)),
   INDEX(auditor_1!A$2:A$785,$Z$2-(ROW()-$Z$1-2))
))</f>
        <v/>
      </c>
      <c r="K108" t="str">
        <f>IF(AND(F108&lt;&gt;0, B108&lt;&gt;""), MAX($K$1:K107)+1, "")</f>
        <v/>
      </c>
    </row>
    <row r="109" spans="1:11" x14ac:dyDescent="0.25">
      <c r="A109" t="str">
        <f t="shared" si="1"/>
        <v/>
      </c>
      <c r="B109" t="str">
        <f>IF(ROW()-1&lt;=$Z$1,
   INDEX(auditor_2!B$2:B$958,$Z$1-(ROW()-2)),
IF(ROW()-1&lt;=$Z$1+$Z$2,
   INDEX(auditor_1!B$2:B$785,$Z$2-(ROW()-$Z$1-2)),
""))</f>
        <v/>
      </c>
      <c r="C109" t="str">
        <f>IFERROR(VLOOKUP(B109,Data!$B:$Q,16,FALSE),"")</f>
        <v/>
      </c>
      <c r="D109" t="str">
        <f>IFERROR(VLOOKUP(B109,Data!$B:$Q,3,FALSE),"")</f>
        <v/>
      </c>
      <c r="E109" t="str">
        <f>IF(B109="","",
IF(ROW()-1&lt;=$Z$1,
   INDEX(auditor_2!F$2:F$958,$Z$1-(ROW()-2)),
   INDEX(auditor_1!F$2:F$785,$Z$2-(ROW()-$Z$1-2))
))</f>
        <v/>
      </c>
      <c r="F109" t="str">
        <f>IF(B109="","",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9" t="str">
        <f>IF(B109="","",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9" t="str">
        <f>IFERROR(VLOOKUP(B109,Data!$B:$Q,15,FALSE),"")</f>
        <v/>
      </c>
      <c r="I109" t="str">
        <f>IF(B109="","",
IF(ROW()-1&lt;=$Z$1,
   INDEX(auditor_2!A$2:A$958,$Z$1-(ROW()-2)),
   INDEX(auditor_1!A$2:A$785,$Z$2-(ROW()-$Z$1-2))
))</f>
        <v/>
      </c>
      <c r="K109" t="str">
        <f>IF(AND(F109&lt;&gt;0, B109&lt;&gt;""), MAX($K$1:K108)+1, "")</f>
        <v/>
      </c>
    </row>
    <row r="110" spans="1:11" x14ac:dyDescent="0.25">
      <c r="A110" t="str">
        <f t="shared" si="1"/>
        <v/>
      </c>
      <c r="B110" t="str">
        <f>IF(ROW()-1&lt;=$Z$1,
   INDEX(auditor_2!B$2:B$958,$Z$1-(ROW()-2)),
IF(ROW()-1&lt;=$Z$1+$Z$2,
   INDEX(auditor_1!B$2:B$785,$Z$2-(ROW()-$Z$1-2)),
""))</f>
        <v/>
      </c>
      <c r="C110" t="str">
        <f>IFERROR(VLOOKUP(B110,Data!$B:$Q,16,FALSE),"")</f>
        <v/>
      </c>
      <c r="D110" t="str">
        <f>IFERROR(VLOOKUP(B110,Data!$B:$Q,3,FALSE),"")</f>
        <v/>
      </c>
      <c r="E110" t="str">
        <f>IF(B110="","",
IF(ROW()-1&lt;=$Z$1,
   INDEX(auditor_2!F$2:F$958,$Z$1-(ROW()-2)),
   INDEX(auditor_1!F$2:F$785,$Z$2-(ROW()-$Z$1-2))
))</f>
        <v/>
      </c>
      <c r="F110" t="str">
        <f>IF(B110="","",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0" t="str">
        <f>IF(B110="","",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0" t="str">
        <f>IFERROR(VLOOKUP(B110,Data!$B:$Q,15,FALSE),"")</f>
        <v/>
      </c>
      <c r="I110" t="str">
        <f>IF(B110="","",
IF(ROW()-1&lt;=$Z$1,
   INDEX(auditor_2!A$2:A$958,$Z$1-(ROW()-2)),
   INDEX(auditor_1!A$2:A$785,$Z$2-(ROW()-$Z$1-2))
))</f>
        <v/>
      </c>
      <c r="K110" t="str">
        <f>IF(AND(F110&lt;&gt;0, B110&lt;&gt;""), MAX($K$1:K109)+1, "")</f>
        <v/>
      </c>
    </row>
    <row r="111" spans="1:11" x14ac:dyDescent="0.25">
      <c r="A111" t="str">
        <f t="shared" si="1"/>
        <v/>
      </c>
      <c r="B111" t="str">
        <f>IF(ROW()-1&lt;=$Z$1,
   INDEX(auditor_2!B$2:B$958,$Z$1-(ROW()-2)),
IF(ROW()-1&lt;=$Z$1+$Z$2,
   INDEX(auditor_1!B$2:B$785,$Z$2-(ROW()-$Z$1-2)),
""))</f>
        <v/>
      </c>
      <c r="C111" t="str">
        <f>IFERROR(VLOOKUP(B111,Data!$B:$Q,16,FALSE),"")</f>
        <v/>
      </c>
      <c r="D111" t="str">
        <f>IFERROR(VLOOKUP(B111,Data!$B:$Q,3,FALSE),"")</f>
        <v/>
      </c>
      <c r="E111" t="str">
        <f>IF(B111="","",
IF(ROW()-1&lt;=$Z$1,
   INDEX(auditor_2!F$2:F$958,$Z$1-(ROW()-2)),
   INDEX(auditor_1!F$2:F$785,$Z$2-(ROW()-$Z$1-2))
))</f>
        <v/>
      </c>
      <c r="F111" t="str">
        <f>IF(B111="","",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1" t="str">
        <f>IF(B111="","",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1" t="str">
        <f>IFERROR(VLOOKUP(B111,Data!$B:$Q,15,FALSE),"")</f>
        <v/>
      </c>
      <c r="I111" t="str">
        <f>IF(B111="","",
IF(ROW()-1&lt;=$Z$1,
   INDEX(auditor_2!A$2:A$958,$Z$1-(ROW()-2)),
   INDEX(auditor_1!A$2:A$785,$Z$2-(ROW()-$Z$1-2))
))</f>
        <v/>
      </c>
      <c r="K111" t="str">
        <f>IF(AND(F111&lt;&gt;0, B111&lt;&gt;""), MAX($K$1:K110)+1, "")</f>
        <v/>
      </c>
    </row>
    <row r="112" spans="1:11" x14ac:dyDescent="0.25">
      <c r="A112" t="str">
        <f t="shared" si="1"/>
        <v/>
      </c>
      <c r="B112" t="str">
        <f>IF(ROW()-1&lt;=$Z$1,
   INDEX(auditor_2!B$2:B$958,$Z$1-(ROW()-2)),
IF(ROW()-1&lt;=$Z$1+$Z$2,
   INDEX(auditor_1!B$2:B$785,$Z$2-(ROW()-$Z$1-2)),
""))</f>
        <v/>
      </c>
      <c r="C112" t="str">
        <f>IFERROR(VLOOKUP(B112,Data!$B:$Q,16,FALSE),"")</f>
        <v/>
      </c>
      <c r="D112" t="str">
        <f>IFERROR(VLOOKUP(B112,Data!$B:$Q,3,FALSE),"")</f>
        <v/>
      </c>
      <c r="E112" t="str">
        <f>IF(B112="","",
IF(ROW()-1&lt;=$Z$1,
   INDEX(auditor_2!F$2:F$958,$Z$1-(ROW()-2)),
   INDEX(auditor_1!F$2:F$785,$Z$2-(ROW()-$Z$1-2))
))</f>
        <v/>
      </c>
      <c r="F112" t="str">
        <f>IF(B112="","",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2" t="str">
        <f>IF(B112="","",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2" t="str">
        <f>IFERROR(VLOOKUP(B112,Data!$B:$Q,15,FALSE),"")</f>
        <v/>
      </c>
      <c r="I112" t="str">
        <f>IF(B112="","",
IF(ROW()-1&lt;=$Z$1,
   INDEX(auditor_2!A$2:A$958,$Z$1-(ROW()-2)),
   INDEX(auditor_1!A$2:A$785,$Z$2-(ROW()-$Z$1-2))
))</f>
        <v/>
      </c>
      <c r="K112" t="str">
        <f>IF(AND(F112&lt;&gt;0, B112&lt;&gt;""), MAX($K$1:K111)+1, "")</f>
        <v/>
      </c>
    </row>
    <row r="113" spans="1:11" x14ac:dyDescent="0.25">
      <c r="A113" t="str">
        <f t="shared" si="1"/>
        <v/>
      </c>
      <c r="B113" t="str">
        <f>IF(ROW()-1&lt;=$Z$1,
   INDEX(auditor_2!B$2:B$958,$Z$1-(ROW()-2)),
IF(ROW()-1&lt;=$Z$1+$Z$2,
   INDEX(auditor_1!B$2:B$785,$Z$2-(ROW()-$Z$1-2)),
""))</f>
        <v/>
      </c>
      <c r="C113" t="str">
        <f>IFERROR(VLOOKUP(B113,Data!$B:$Q,16,FALSE),"")</f>
        <v/>
      </c>
      <c r="D113" t="str">
        <f>IFERROR(VLOOKUP(B113,Data!$B:$Q,3,FALSE),"")</f>
        <v/>
      </c>
      <c r="E113" t="str">
        <f>IF(B113="","",
IF(ROW()-1&lt;=$Z$1,
   INDEX(auditor_2!F$2:F$958,$Z$1-(ROW()-2)),
   INDEX(auditor_1!F$2:F$785,$Z$2-(ROW()-$Z$1-2))
))</f>
        <v/>
      </c>
      <c r="F113" t="str">
        <f>IF(B113="","",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3" t="str">
        <f>IF(B113="","",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3" t="str">
        <f>IFERROR(VLOOKUP(B113,Data!$B:$Q,15,FALSE),"")</f>
        <v/>
      </c>
      <c r="I113" t="str">
        <f>IF(B113="","",
IF(ROW()-1&lt;=$Z$1,
   INDEX(auditor_2!A$2:A$958,$Z$1-(ROW()-2)),
   INDEX(auditor_1!A$2:A$785,$Z$2-(ROW()-$Z$1-2))
))</f>
        <v/>
      </c>
      <c r="K113" t="str">
        <f>IF(AND(F113&lt;&gt;0, B113&lt;&gt;""), MAX($K$1:K112)+1, "")</f>
        <v/>
      </c>
    </row>
    <row r="114" spans="1:11" x14ac:dyDescent="0.25">
      <c r="A114" t="str">
        <f t="shared" si="1"/>
        <v/>
      </c>
      <c r="B114" t="str">
        <f>IF(ROW()-1&lt;=$Z$1,
   INDEX(auditor_2!B$2:B$958,$Z$1-(ROW()-2)),
IF(ROW()-1&lt;=$Z$1+$Z$2,
   INDEX(auditor_1!B$2:B$785,$Z$2-(ROW()-$Z$1-2)),
""))</f>
        <v/>
      </c>
      <c r="C114" t="str">
        <f>IFERROR(VLOOKUP(B114,Data!$B:$Q,16,FALSE),"")</f>
        <v/>
      </c>
      <c r="D114" t="str">
        <f>IFERROR(VLOOKUP(B114,Data!$B:$Q,3,FALSE),"")</f>
        <v/>
      </c>
      <c r="E114" t="str">
        <f>IF(B114="","",
IF(ROW()-1&lt;=$Z$1,
   INDEX(auditor_2!F$2:F$958,$Z$1-(ROW()-2)),
   INDEX(auditor_1!F$2:F$785,$Z$2-(ROW()-$Z$1-2))
))</f>
        <v/>
      </c>
      <c r="F114" t="str">
        <f>IF(B114="","",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4" t="str">
        <f>IF(B114="","",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4" t="str">
        <f>IFERROR(VLOOKUP(B114,Data!$B:$Q,15,FALSE),"")</f>
        <v/>
      </c>
      <c r="I114" t="str">
        <f>IF(B114="","",
IF(ROW()-1&lt;=$Z$1,
   INDEX(auditor_2!A$2:A$958,$Z$1-(ROW()-2)),
   INDEX(auditor_1!A$2:A$785,$Z$2-(ROW()-$Z$1-2))
))</f>
        <v/>
      </c>
      <c r="K114" t="str">
        <f>IF(AND(F114&lt;&gt;0, B114&lt;&gt;""), MAX($K$1:K113)+1, "")</f>
        <v/>
      </c>
    </row>
    <row r="115" spans="1:11" x14ac:dyDescent="0.25">
      <c r="A115" t="str">
        <f t="shared" si="1"/>
        <v/>
      </c>
      <c r="B115" t="str">
        <f>IF(ROW()-1&lt;=$Z$1,
   INDEX(auditor_2!B$2:B$958,$Z$1-(ROW()-2)),
IF(ROW()-1&lt;=$Z$1+$Z$2,
   INDEX(auditor_1!B$2:B$785,$Z$2-(ROW()-$Z$1-2)),
""))</f>
        <v/>
      </c>
      <c r="C115" t="str">
        <f>IFERROR(VLOOKUP(B115,Data!$B:$Q,16,FALSE),"")</f>
        <v/>
      </c>
      <c r="D115" t="str">
        <f>IFERROR(VLOOKUP(B115,Data!$B:$Q,3,FALSE),"")</f>
        <v/>
      </c>
      <c r="E115" t="str">
        <f>IF(B115="","",
IF(ROW()-1&lt;=$Z$1,
   INDEX(auditor_2!F$2:F$958,$Z$1-(ROW()-2)),
   INDEX(auditor_1!F$2:F$785,$Z$2-(ROW()-$Z$1-2))
))</f>
        <v/>
      </c>
      <c r="F115" t="str">
        <f>IF(B115="","",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5" t="str">
        <f>IF(B115="","",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5" t="str">
        <f>IFERROR(VLOOKUP(B115,Data!$B:$Q,15,FALSE),"")</f>
        <v/>
      </c>
      <c r="I115" t="str">
        <f>IF(B115="","",
IF(ROW()-1&lt;=$Z$1,
   INDEX(auditor_2!A$2:A$958,$Z$1-(ROW()-2)),
   INDEX(auditor_1!A$2:A$785,$Z$2-(ROW()-$Z$1-2))
))</f>
        <v/>
      </c>
      <c r="K115" t="str">
        <f>IF(AND(F115&lt;&gt;0, B115&lt;&gt;""), MAX($K$1:K114)+1, "")</f>
        <v/>
      </c>
    </row>
    <row r="116" spans="1:11" x14ac:dyDescent="0.25">
      <c r="A116" t="str">
        <f t="shared" si="1"/>
        <v/>
      </c>
      <c r="B116" t="str">
        <f>IF(ROW()-1&lt;=$Z$1,
   INDEX(auditor_2!B$2:B$958,$Z$1-(ROW()-2)),
IF(ROW()-1&lt;=$Z$1+$Z$2,
   INDEX(auditor_1!B$2:B$785,$Z$2-(ROW()-$Z$1-2)),
""))</f>
        <v/>
      </c>
      <c r="C116" t="str">
        <f>IFERROR(VLOOKUP(B116,Data!$B:$Q,16,FALSE),"")</f>
        <v/>
      </c>
      <c r="D116" t="str">
        <f>IFERROR(VLOOKUP(B116,Data!$B:$Q,3,FALSE),"")</f>
        <v/>
      </c>
      <c r="E116" t="str">
        <f>IF(B116="","",
IF(ROW()-1&lt;=$Z$1,
   INDEX(auditor_2!F$2:F$958,$Z$1-(ROW()-2)),
   INDEX(auditor_1!F$2:F$785,$Z$2-(ROW()-$Z$1-2))
))</f>
        <v/>
      </c>
      <c r="F116" t="str">
        <f>IF(B116="","",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6" t="str">
        <f>IF(B116="","",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6" t="str">
        <f>IFERROR(VLOOKUP(B116,Data!$B:$Q,15,FALSE),"")</f>
        <v/>
      </c>
      <c r="I116" t="str">
        <f>IF(B116="","",
IF(ROW()-1&lt;=$Z$1,
   INDEX(auditor_2!A$2:A$958,$Z$1-(ROW()-2)),
   INDEX(auditor_1!A$2:A$785,$Z$2-(ROW()-$Z$1-2))
))</f>
        <v/>
      </c>
      <c r="K116" t="str">
        <f>IF(AND(F116&lt;&gt;0, B116&lt;&gt;""), MAX($K$1:K115)+1, "")</f>
        <v/>
      </c>
    </row>
    <row r="117" spans="1:11" x14ac:dyDescent="0.25">
      <c r="A117" t="str">
        <f t="shared" si="1"/>
        <v/>
      </c>
      <c r="B117" t="str">
        <f>IF(ROW()-1&lt;=$Z$1,
   INDEX(auditor_2!B$2:B$958,$Z$1-(ROW()-2)),
IF(ROW()-1&lt;=$Z$1+$Z$2,
   INDEX(auditor_1!B$2:B$785,$Z$2-(ROW()-$Z$1-2)),
""))</f>
        <v/>
      </c>
      <c r="C117" t="str">
        <f>IFERROR(VLOOKUP(B117,Data!$B:$Q,16,FALSE),"")</f>
        <v/>
      </c>
      <c r="D117" t="str">
        <f>IFERROR(VLOOKUP(B117,Data!$B:$Q,3,FALSE),"")</f>
        <v/>
      </c>
      <c r="E117" t="str">
        <f>IF(B117="","",
IF(ROW()-1&lt;=$Z$1,
   INDEX(auditor_2!F$2:F$958,$Z$1-(ROW()-2)),
   INDEX(auditor_1!F$2:F$785,$Z$2-(ROW()-$Z$1-2))
))</f>
        <v/>
      </c>
      <c r="F117" t="str">
        <f>IF(B117="","",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7" t="str">
        <f>IF(B117="","",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7" t="str">
        <f>IFERROR(VLOOKUP(B117,Data!$B:$Q,15,FALSE),"")</f>
        <v/>
      </c>
      <c r="I117" t="str">
        <f>IF(B117="","",
IF(ROW()-1&lt;=$Z$1,
   INDEX(auditor_2!A$2:A$958,$Z$1-(ROW()-2)),
   INDEX(auditor_1!A$2:A$785,$Z$2-(ROW()-$Z$1-2))
))</f>
        <v/>
      </c>
      <c r="K117" t="str">
        <f>IF(AND(F117&lt;&gt;0, B117&lt;&gt;""), MAX($K$1:K116)+1, "")</f>
        <v/>
      </c>
    </row>
    <row r="118" spans="1:11" x14ac:dyDescent="0.25">
      <c r="A118" t="str">
        <f t="shared" si="1"/>
        <v/>
      </c>
      <c r="B118" t="str">
        <f>IF(ROW()-1&lt;=$Z$1,
   INDEX(auditor_2!B$2:B$958,$Z$1-(ROW()-2)),
IF(ROW()-1&lt;=$Z$1+$Z$2,
   INDEX(auditor_1!B$2:B$785,$Z$2-(ROW()-$Z$1-2)),
""))</f>
        <v/>
      </c>
      <c r="C118" t="str">
        <f>IFERROR(VLOOKUP(B118,Data!$B:$Q,16,FALSE),"")</f>
        <v/>
      </c>
      <c r="D118" t="str">
        <f>IFERROR(VLOOKUP(B118,Data!$B:$Q,3,FALSE),"")</f>
        <v/>
      </c>
      <c r="E118" t="str">
        <f>IF(B118="","",
IF(ROW()-1&lt;=$Z$1,
   INDEX(auditor_2!F$2:F$958,$Z$1-(ROW()-2)),
   INDEX(auditor_1!F$2:F$785,$Z$2-(ROW()-$Z$1-2))
))</f>
        <v/>
      </c>
      <c r="F118" t="str">
        <f>IF(B118="","",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8" t="str">
        <f>IF(B118="","",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8" t="str">
        <f>IFERROR(VLOOKUP(B118,Data!$B:$Q,15,FALSE),"")</f>
        <v/>
      </c>
      <c r="I118" t="str">
        <f>IF(B118="","",
IF(ROW()-1&lt;=$Z$1,
   INDEX(auditor_2!A$2:A$958,$Z$1-(ROW()-2)),
   INDEX(auditor_1!A$2:A$785,$Z$2-(ROW()-$Z$1-2))
))</f>
        <v/>
      </c>
      <c r="K118" t="str">
        <f>IF(AND(F118&lt;&gt;0, B118&lt;&gt;""), MAX($K$1:K117)+1, "")</f>
        <v/>
      </c>
    </row>
    <row r="119" spans="1:11" x14ac:dyDescent="0.25">
      <c r="A119" t="str">
        <f t="shared" si="1"/>
        <v/>
      </c>
      <c r="B119" t="str">
        <f>IF(ROW()-1&lt;=$Z$1,
   INDEX(auditor_2!B$2:B$958,$Z$1-(ROW()-2)),
IF(ROW()-1&lt;=$Z$1+$Z$2,
   INDEX(auditor_1!B$2:B$785,$Z$2-(ROW()-$Z$1-2)),
""))</f>
        <v/>
      </c>
      <c r="C119" t="str">
        <f>IFERROR(VLOOKUP(B119,Data!$B:$Q,16,FALSE),"")</f>
        <v/>
      </c>
      <c r="D119" t="str">
        <f>IFERROR(VLOOKUP(B119,Data!$B:$Q,3,FALSE),"")</f>
        <v/>
      </c>
      <c r="E119" t="str">
        <f>IF(B119="","",
IF(ROW()-1&lt;=$Z$1,
   INDEX(auditor_2!F$2:F$958,$Z$1-(ROW()-2)),
   INDEX(auditor_1!F$2:F$785,$Z$2-(ROW()-$Z$1-2))
))</f>
        <v/>
      </c>
      <c r="F119" t="str">
        <f>IF(B119="","",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9" t="str">
        <f>IF(B119="","",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9" t="str">
        <f>IFERROR(VLOOKUP(B119,Data!$B:$Q,15,FALSE),"")</f>
        <v/>
      </c>
      <c r="I119" t="str">
        <f>IF(B119="","",
IF(ROW()-1&lt;=$Z$1,
   INDEX(auditor_2!A$2:A$958,$Z$1-(ROW()-2)),
   INDEX(auditor_1!A$2:A$785,$Z$2-(ROW()-$Z$1-2))
))</f>
        <v/>
      </c>
      <c r="K119" t="str">
        <f>IF(AND(F119&lt;&gt;0, B119&lt;&gt;""), MAX($K$1:K118)+1, "")</f>
        <v/>
      </c>
    </row>
    <row r="120" spans="1:11" x14ac:dyDescent="0.25">
      <c r="A120" t="str">
        <f t="shared" si="1"/>
        <v/>
      </c>
      <c r="B120" t="str">
        <f>IF(ROW()-1&lt;=$Z$1,
   INDEX(auditor_2!B$2:B$958,$Z$1-(ROW()-2)),
IF(ROW()-1&lt;=$Z$1+$Z$2,
   INDEX(auditor_1!B$2:B$785,$Z$2-(ROW()-$Z$1-2)),
""))</f>
        <v/>
      </c>
      <c r="C120" t="str">
        <f>IFERROR(VLOOKUP(B120,Data!$B:$Q,16,FALSE),"")</f>
        <v/>
      </c>
      <c r="D120" t="str">
        <f>IFERROR(VLOOKUP(B120,Data!$B:$Q,3,FALSE),"")</f>
        <v/>
      </c>
      <c r="E120" t="str">
        <f>IF(B120="","",
IF(ROW()-1&lt;=$Z$1,
   INDEX(auditor_2!F$2:F$958,$Z$1-(ROW()-2)),
   INDEX(auditor_1!F$2:F$785,$Z$2-(ROW()-$Z$1-2))
))</f>
        <v/>
      </c>
      <c r="F120" t="str">
        <f>IF(B120="","",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0" t="str">
        <f>IF(B120="","",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0" t="str">
        <f>IFERROR(VLOOKUP(B120,Data!$B:$Q,15,FALSE),"")</f>
        <v/>
      </c>
      <c r="I120" t="str">
        <f>IF(B120="","",
IF(ROW()-1&lt;=$Z$1,
   INDEX(auditor_2!A$2:A$958,$Z$1-(ROW()-2)),
   INDEX(auditor_1!A$2:A$785,$Z$2-(ROW()-$Z$1-2))
))</f>
        <v/>
      </c>
      <c r="K120" t="str">
        <f>IF(AND(F120&lt;&gt;0, B120&lt;&gt;""), MAX($K$1:K119)+1, "")</f>
        <v/>
      </c>
    </row>
    <row r="121" spans="1:11" x14ac:dyDescent="0.25">
      <c r="A121" t="str">
        <f t="shared" si="1"/>
        <v/>
      </c>
      <c r="B121" t="str">
        <f>IF(ROW()-1&lt;=$Z$1,
   INDEX(auditor_2!B$2:B$958,$Z$1-(ROW()-2)),
IF(ROW()-1&lt;=$Z$1+$Z$2,
   INDEX(auditor_1!B$2:B$785,$Z$2-(ROW()-$Z$1-2)),
""))</f>
        <v/>
      </c>
      <c r="C121" t="str">
        <f>IFERROR(VLOOKUP(B121,Data!$B:$Q,16,FALSE),"")</f>
        <v/>
      </c>
      <c r="D121" t="str">
        <f>IFERROR(VLOOKUP(B121,Data!$B:$Q,3,FALSE),"")</f>
        <v/>
      </c>
      <c r="E121" t="str">
        <f>IF(B121="","",
IF(ROW()-1&lt;=$Z$1,
   INDEX(auditor_2!F$2:F$958,$Z$1-(ROW()-2)),
   INDEX(auditor_1!F$2:F$785,$Z$2-(ROW()-$Z$1-2))
))</f>
        <v/>
      </c>
      <c r="F121" t="str">
        <f>IF(B121="","",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1" t="str">
        <f>IF(B121="","",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1" t="str">
        <f>IFERROR(VLOOKUP(B121,Data!$B:$Q,15,FALSE),"")</f>
        <v/>
      </c>
      <c r="I121" t="str">
        <f>IF(B121="","",
IF(ROW()-1&lt;=$Z$1,
   INDEX(auditor_2!A$2:A$958,$Z$1-(ROW()-2)),
   INDEX(auditor_1!A$2:A$785,$Z$2-(ROW()-$Z$1-2))
))</f>
        <v/>
      </c>
      <c r="K121" t="str">
        <f>IF(AND(F121&lt;&gt;0, B121&lt;&gt;""), MAX($K$1:K120)+1, "")</f>
        <v/>
      </c>
    </row>
    <row r="122" spans="1:11" x14ac:dyDescent="0.25">
      <c r="A122" t="str">
        <f t="shared" si="1"/>
        <v/>
      </c>
      <c r="B122" t="str">
        <f>IF(ROW()-1&lt;=$Z$1,
   INDEX(auditor_2!B$2:B$958,$Z$1-(ROW()-2)),
IF(ROW()-1&lt;=$Z$1+$Z$2,
   INDEX(auditor_1!B$2:B$785,$Z$2-(ROW()-$Z$1-2)),
""))</f>
        <v/>
      </c>
      <c r="C122" t="str">
        <f>IFERROR(VLOOKUP(B122,Data!$B:$Q,16,FALSE),"")</f>
        <v/>
      </c>
      <c r="D122" t="str">
        <f>IFERROR(VLOOKUP(B122,Data!$B:$Q,3,FALSE),"")</f>
        <v/>
      </c>
      <c r="E122" t="str">
        <f>IF(B122="","",
IF(ROW()-1&lt;=$Z$1,
   INDEX(auditor_2!F$2:F$958,$Z$1-(ROW()-2)),
   INDEX(auditor_1!F$2:F$785,$Z$2-(ROW()-$Z$1-2))
))</f>
        <v/>
      </c>
      <c r="F122" t="str">
        <f>IF(B122="","",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2" t="str">
        <f>IF(B122="","",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2" t="str">
        <f>IFERROR(VLOOKUP(B122,Data!$B:$Q,15,FALSE),"")</f>
        <v/>
      </c>
      <c r="I122" t="str">
        <f>IF(B122="","",
IF(ROW()-1&lt;=$Z$1,
   INDEX(auditor_2!A$2:A$958,$Z$1-(ROW()-2)),
   INDEX(auditor_1!A$2:A$785,$Z$2-(ROW()-$Z$1-2))
))</f>
        <v/>
      </c>
      <c r="K122" t="str">
        <f>IF(AND(F122&lt;&gt;0, B122&lt;&gt;""), MAX($K$1:K121)+1, "")</f>
        <v/>
      </c>
    </row>
    <row r="123" spans="1:11" x14ac:dyDescent="0.25">
      <c r="A123" t="str">
        <f t="shared" si="1"/>
        <v/>
      </c>
      <c r="B123" t="str">
        <f>IF(ROW()-1&lt;=$Z$1,
   INDEX(auditor_2!B$2:B$958,$Z$1-(ROW()-2)),
IF(ROW()-1&lt;=$Z$1+$Z$2,
   INDEX(auditor_1!B$2:B$785,$Z$2-(ROW()-$Z$1-2)),
""))</f>
        <v/>
      </c>
      <c r="C123" t="str">
        <f>IFERROR(VLOOKUP(B123,Data!$B:$Q,16,FALSE),"")</f>
        <v/>
      </c>
      <c r="D123" t="str">
        <f>IFERROR(VLOOKUP(B123,Data!$B:$Q,3,FALSE),"")</f>
        <v/>
      </c>
      <c r="E123" t="str">
        <f>IF(B123="","",
IF(ROW()-1&lt;=$Z$1,
   INDEX(auditor_2!F$2:F$958,$Z$1-(ROW()-2)),
   INDEX(auditor_1!F$2:F$785,$Z$2-(ROW()-$Z$1-2))
))</f>
        <v/>
      </c>
      <c r="F123" t="str">
        <f>IF(B123="","",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3" t="str">
        <f>IF(B123="","",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3" t="str">
        <f>IFERROR(VLOOKUP(B123,Data!$B:$Q,15,FALSE),"")</f>
        <v/>
      </c>
      <c r="I123" t="str">
        <f>IF(B123="","",
IF(ROW()-1&lt;=$Z$1,
   INDEX(auditor_2!A$2:A$958,$Z$1-(ROW()-2)),
   INDEX(auditor_1!A$2:A$785,$Z$2-(ROW()-$Z$1-2))
))</f>
        <v/>
      </c>
      <c r="K123" t="str">
        <f>IF(AND(F123&lt;&gt;0, B123&lt;&gt;""), MAX($K$1:K122)+1, "")</f>
        <v/>
      </c>
    </row>
    <row r="124" spans="1:11" x14ac:dyDescent="0.25">
      <c r="A124" t="str">
        <f t="shared" si="1"/>
        <v/>
      </c>
      <c r="B124" t="str">
        <f>IF(ROW()-1&lt;=$Z$1,
   INDEX(auditor_2!B$2:B$958,$Z$1-(ROW()-2)),
IF(ROW()-1&lt;=$Z$1+$Z$2,
   INDEX(auditor_1!B$2:B$785,$Z$2-(ROW()-$Z$1-2)),
""))</f>
        <v/>
      </c>
      <c r="C124" t="str">
        <f>IFERROR(VLOOKUP(B124,Data!$B:$Q,16,FALSE),"")</f>
        <v/>
      </c>
      <c r="D124" t="str">
        <f>IFERROR(VLOOKUP(B124,Data!$B:$Q,3,FALSE),"")</f>
        <v/>
      </c>
      <c r="E124" t="str">
        <f>IF(B124="","",
IF(ROW()-1&lt;=$Z$1,
   INDEX(auditor_2!F$2:F$958,$Z$1-(ROW()-2)),
   INDEX(auditor_1!F$2:F$785,$Z$2-(ROW()-$Z$1-2))
))</f>
        <v/>
      </c>
      <c r="F124" t="str">
        <f>IF(B124="","",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4" t="str">
        <f>IF(B124="","",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4" t="str">
        <f>IFERROR(VLOOKUP(B124,Data!$B:$Q,15,FALSE),"")</f>
        <v/>
      </c>
      <c r="I124" t="str">
        <f>IF(B124="","",
IF(ROW()-1&lt;=$Z$1,
   INDEX(auditor_2!A$2:A$958,$Z$1-(ROW()-2)),
   INDEX(auditor_1!A$2:A$785,$Z$2-(ROW()-$Z$1-2))
))</f>
        <v/>
      </c>
      <c r="K124" t="str">
        <f>IF(AND(F124&lt;&gt;0, B124&lt;&gt;""), MAX($K$1:K123)+1, "")</f>
        <v/>
      </c>
    </row>
    <row r="125" spans="1:11" x14ac:dyDescent="0.25">
      <c r="A125" t="str">
        <f t="shared" si="1"/>
        <v/>
      </c>
      <c r="B125" t="str">
        <f>IF(ROW()-1&lt;=$Z$1,
   INDEX(auditor_2!B$2:B$958,$Z$1-(ROW()-2)),
IF(ROW()-1&lt;=$Z$1+$Z$2,
   INDEX(auditor_1!B$2:B$785,$Z$2-(ROW()-$Z$1-2)),
""))</f>
        <v/>
      </c>
      <c r="C125" t="str">
        <f>IFERROR(VLOOKUP(B125,Data!$B:$Q,16,FALSE),"")</f>
        <v/>
      </c>
      <c r="D125" t="str">
        <f>IFERROR(VLOOKUP(B125,Data!$B:$Q,3,FALSE),"")</f>
        <v/>
      </c>
      <c r="E125" t="str">
        <f>IF(B125="","",
IF(ROW()-1&lt;=$Z$1,
   INDEX(auditor_2!F$2:F$958,$Z$1-(ROW()-2)),
   INDEX(auditor_1!F$2:F$785,$Z$2-(ROW()-$Z$1-2))
))</f>
        <v/>
      </c>
      <c r="F125" t="str">
        <f>IF(B125="","",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5" t="str">
        <f>IF(B125="","",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5" t="str">
        <f>IFERROR(VLOOKUP(B125,Data!$B:$Q,15,FALSE),"")</f>
        <v/>
      </c>
      <c r="I125" t="str">
        <f>IF(B125="","",
IF(ROW()-1&lt;=$Z$1,
   INDEX(auditor_2!A$2:A$958,$Z$1-(ROW()-2)),
   INDEX(auditor_1!A$2:A$785,$Z$2-(ROW()-$Z$1-2))
))</f>
        <v/>
      </c>
      <c r="K125" t="str">
        <f>IF(AND(F125&lt;&gt;0, B125&lt;&gt;""), MAX($K$1:K124)+1, "")</f>
        <v/>
      </c>
    </row>
    <row r="126" spans="1:11" x14ac:dyDescent="0.25">
      <c r="A126" t="str">
        <f t="shared" si="1"/>
        <v/>
      </c>
      <c r="B126" t="str">
        <f>IF(ROW()-1&lt;=$Z$1,
   INDEX(auditor_2!B$2:B$958,$Z$1-(ROW()-2)),
IF(ROW()-1&lt;=$Z$1+$Z$2,
   INDEX(auditor_1!B$2:B$785,$Z$2-(ROW()-$Z$1-2)),
""))</f>
        <v/>
      </c>
      <c r="C126" t="str">
        <f>IFERROR(VLOOKUP(B126,Data!$B:$Q,16,FALSE),"")</f>
        <v/>
      </c>
      <c r="D126" t="str">
        <f>IFERROR(VLOOKUP(B126,Data!$B:$Q,3,FALSE),"")</f>
        <v/>
      </c>
      <c r="E126" t="str">
        <f>IF(B126="","",
IF(ROW()-1&lt;=$Z$1,
   INDEX(auditor_2!F$2:F$958,$Z$1-(ROW()-2)),
   INDEX(auditor_1!F$2:F$785,$Z$2-(ROW()-$Z$1-2))
))</f>
        <v/>
      </c>
      <c r="F126" t="str">
        <f>IF(B126="","",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6" t="str">
        <f>IF(B126="","",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6" t="str">
        <f>IFERROR(VLOOKUP(B126,Data!$B:$Q,15,FALSE),"")</f>
        <v/>
      </c>
      <c r="I126" t="str">
        <f>IF(B126="","",
IF(ROW()-1&lt;=$Z$1,
   INDEX(auditor_2!A$2:A$958,$Z$1-(ROW()-2)),
   INDEX(auditor_1!A$2:A$785,$Z$2-(ROW()-$Z$1-2))
))</f>
        <v/>
      </c>
      <c r="K126" t="str">
        <f>IF(AND(F126&lt;&gt;0, B126&lt;&gt;""), MAX($K$1:K125)+1, "")</f>
        <v/>
      </c>
    </row>
    <row r="127" spans="1:11" x14ac:dyDescent="0.25">
      <c r="A127" t="str">
        <f t="shared" si="1"/>
        <v/>
      </c>
      <c r="B127" t="str">
        <f>IF(ROW()-1&lt;=$Z$1,
   INDEX(auditor_2!B$2:B$958,$Z$1-(ROW()-2)),
IF(ROW()-1&lt;=$Z$1+$Z$2,
   INDEX(auditor_1!B$2:B$785,$Z$2-(ROW()-$Z$1-2)),
""))</f>
        <v/>
      </c>
      <c r="C127" t="str">
        <f>IFERROR(VLOOKUP(B127,Data!$B:$Q,16,FALSE),"")</f>
        <v/>
      </c>
      <c r="D127" t="str">
        <f>IFERROR(VLOOKUP(B127,Data!$B:$Q,3,FALSE),"")</f>
        <v/>
      </c>
      <c r="E127" t="str">
        <f>IF(B127="","",
IF(ROW()-1&lt;=$Z$1,
   INDEX(auditor_2!F$2:F$958,$Z$1-(ROW()-2)),
   INDEX(auditor_1!F$2:F$785,$Z$2-(ROW()-$Z$1-2))
))</f>
        <v/>
      </c>
      <c r="F127" t="str">
        <f>IF(B127="","",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7" t="str">
        <f>IF(B127="","",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7" t="str">
        <f>IFERROR(VLOOKUP(B127,Data!$B:$Q,15,FALSE),"")</f>
        <v/>
      </c>
      <c r="I127" t="str">
        <f>IF(B127="","",
IF(ROW()-1&lt;=$Z$1,
   INDEX(auditor_2!A$2:A$958,$Z$1-(ROW()-2)),
   INDEX(auditor_1!A$2:A$785,$Z$2-(ROW()-$Z$1-2))
))</f>
        <v/>
      </c>
      <c r="K127" t="str">
        <f>IF(AND(F127&lt;&gt;0, B127&lt;&gt;""), MAX($K$1:K126)+1, "")</f>
        <v/>
      </c>
    </row>
    <row r="128" spans="1:11" x14ac:dyDescent="0.25">
      <c r="A128" t="str">
        <f t="shared" si="1"/>
        <v/>
      </c>
      <c r="B128" t="str">
        <f>IF(ROW()-1&lt;=$Z$1,
   INDEX(auditor_2!B$2:B$958,$Z$1-(ROW()-2)),
IF(ROW()-1&lt;=$Z$1+$Z$2,
   INDEX(auditor_1!B$2:B$785,$Z$2-(ROW()-$Z$1-2)),
""))</f>
        <v/>
      </c>
      <c r="C128" t="str">
        <f>IFERROR(VLOOKUP(B128,Data!$B:$Q,16,FALSE),"")</f>
        <v/>
      </c>
      <c r="D128" t="str">
        <f>IFERROR(VLOOKUP(B128,Data!$B:$Q,3,FALSE),"")</f>
        <v/>
      </c>
      <c r="E128" t="str">
        <f>IF(B128="","",
IF(ROW()-1&lt;=$Z$1,
   INDEX(auditor_2!F$2:F$958,$Z$1-(ROW()-2)),
   INDEX(auditor_1!F$2:F$785,$Z$2-(ROW()-$Z$1-2))
))</f>
        <v/>
      </c>
      <c r="F128" t="str">
        <f>IF(B128="","",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8" t="str">
        <f>IF(B128="","",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8" t="str">
        <f>IFERROR(VLOOKUP(B128,Data!$B:$Q,15,FALSE),"")</f>
        <v/>
      </c>
      <c r="I128" t="str">
        <f>IF(B128="","",
IF(ROW()-1&lt;=$Z$1,
   INDEX(auditor_2!A$2:A$958,$Z$1-(ROW()-2)),
   INDEX(auditor_1!A$2:A$785,$Z$2-(ROW()-$Z$1-2))
))</f>
        <v/>
      </c>
      <c r="K128" t="str">
        <f>IF(AND(F128&lt;&gt;0, B128&lt;&gt;""), MAX($K$1:K127)+1, "")</f>
        <v/>
      </c>
    </row>
    <row r="129" spans="1:11" x14ac:dyDescent="0.25">
      <c r="A129" t="str">
        <f t="shared" si="1"/>
        <v/>
      </c>
      <c r="B129" t="str">
        <f>IF(ROW()-1&lt;=$Z$1,
   INDEX(auditor_2!B$2:B$958,$Z$1-(ROW()-2)),
IF(ROW()-1&lt;=$Z$1+$Z$2,
   INDEX(auditor_1!B$2:B$785,$Z$2-(ROW()-$Z$1-2)),
""))</f>
        <v/>
      </c>
      <c r="C129" t="str">
        <f>IFERROR(VLOOKUP(B129,Data!$B:$Q,16,FALSE),"")</f>
        <v/>
      </c>
      <c r="D129" t="str">
        <f>IFERROR(VLOOKUP(B129,Data!$B:$Q,3,FALSE),"")</f>
        <v/>
      </c>
      <c r="E129" t="str">
        <f>IF(B129="","",
IF(ROW()-1&lt;=$Z$1,
   INDEX(auditor_2!F$2:F$958,$Z$1-(ROW()-2)),
   INDEX(auditor_1!F$2:F$785,$Z$2-(ROW()-$Z$1-2))
))</f>
        <v/>
      </c>
      <c r="F129" t="str">
        <f>IF(B129="","",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9" t="str">
        <f>IF(B129="","",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9" t="str">
        <f>IFERROR(VLOOKUP(B129,Data!$B:$Q,15,FALSE),"")</f>
        <v/>
      </c>
      <c r="I129" t="str">
        <f>IF(B129="","",
IF(ROW()-1&lt;=$Z$1,
   INDEX(auditor_2!A$2:A$958,$Z$1-(ROW()-2)),
   INDEX(auditor_1!A$2:A$785,$Z$2-(ROW()-$Z$1-2))
))</f>
        <v/>
      </c>
      <c r="K129" t="str">
        <f>IF(AND(F129&lt;&gt;0, B129&lt;&gt;""), MAX($K$1:K128)+1, "")</f>
        <v/>
      </c>
    </row>
    <row r="130" spans="1:11" x14ac:dyDescent="0.25">
      <c r="A130" t="str">
        <f t="shared" si="1"/>
        <v/>
      </c>
      <c r="B130" t="str">
        <f>IF(ROW()-1&lt;=$Z$1,
   INDEX(auditor_2!B$2:B$958,$Z$1-(ROW()-2)),
IF(ROW()-1&lt;=$Z$1+$Z$2,
   INDEX(auditor_1!B$2:B$785,$Z$2-(ROW()-$Z$1-2)),
""))</f>
        <v/>
      </c>
      <c r="C130" t="str">
        <f>IFERROR(VLOOKUP(B130,Data!$B:$Q,16,FALSE),"")</f>
        <v/>
      </c>
      <c r="D130" t="str">
        <f>IFERROR(VLOOKUP(B130,Data!$B:$Q,3,FALSE),"")</f>
        <v/>
      </c>
      <c r="E130" t="str">
        <f>IF(B130="","",
IF(ROW()-1&lt;=$Z$1,
   INDEX(auditor_2!F$2:F$958,$Z$1-(ROW()-2)),
   INDEX(auditor_1!F$2:F$785,$Z$2-(ROW()-$Z$1-2))
))</f>
        <v/>
      </c>
      <c r="F130" t="str">
        <f>IF(B130="","",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0" t="str">
        <f>IF(B130="","",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0" t="str">
        <f>IFERROR(VLOOKUP(B130,Data!$B:$Q,15,FALSE),"")</f>
        <v/>
      </c>
      <c r="I130" t="str">
        <f>IF(B130="","",
IF(ROW()-1&lt;=$Z$1,
   INDEX(auditor_2!A$2:A$958,$Z$1-(ROW()-2)),
   INDEX(auditor_1!A$2:A$785,$Z$2-(ROW()-$Z$1-2))
))</f>
        <v/>
      </c>
      <c r="K130" t="str">
        <f>IF(AND(F130&lt;&gt;0, B130&lt;&gt;""), MAX($K$1:K129)+1, "")</f>
        <v/>
      </c>
    </row>
    <row r="131" spans="1:11" x14ac:dyDescent="0.25">
      <c r="A131" t="str">
        <f t="shared" ref="A131:A161" si="2">IF(B131="","",ROW()-1)</f>
        <v/>
      </c>
      <c r="B131" t="str">
        <f>IF(ROW()-1&lt;=$Z$1,
   INDEX(auditor_2!B$2:B$958,$Z$1-(ROW()-2)),
IF(ROW()-1&lt;=$Z$1+$Z$2,
   INDEX(auditor_1!B$2:B$785,$Z$2-(ROW()-$Z$1-2)),
""))</f>
        <v/>
      </c>
      <c r="C131" t="str">
        <f>IFERROR(VLOOKUP(B131,Data!$B:$Q,16,FALSE),"")</f>
        <v/>
      </c>
      <c r="D131" t="str">
        <f>IFERROR(VLOOKUP(B131,Data!$B:$Q,3,FALSE),"")</f>
        <v/>
      </c>
      <c r="E131" t="str">
        <f>IF(B131="","",
IF(ROW()-1&lt;=$Z$1,
   INDEX(auditor_2!F$2:F$958,$Z$1-(ROW()-2)),
   INDEX(auditor_1!F$2:F$785,$Z$2-(ROW()-$Z$1-2))
))</f>
        <v/>
      </c>
      <c r="F131" t="str">
        <f>IF(B131="","",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1" t="str">
        <f>IF(B131="","",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1" t="str">
        <f>IFERROR(VLOOKUP(B131,Data!$B:$Q,15,FALSE),"")</f>
        <v/>
      </c>
      <c r="I131" t="str">
        <f>IF(B131="","",
IF(ROW()-1&lt;=$Z$1,
   INDEX(auditor_2!A$2:A$958,$Z$1-(ROW()-2)),
   INDEX(auditor_1!A$2:A$785,$Z$2-(ROW()-$Z$1-2))
))</f>
        <v/>
      </c>
      <c r="K131" t="str">
        <f>IF(AND(F131&lt;&gt;0, B131&lt;&gt;""), MAX($K$1:K130)+1, "")</f>
        <v/>
      </c>
    </row>
    <row r="132" spans="1:11" x14ac:dyDescent="0.25">
      <c r="A132" t="str">
        <f t="shared" si="2"/>
        <v/>
      </c>
      <c r="B132" t="str">
        <f>IF(ROW()-1&lt;=$Z$1,
   INDEX(auditor_2!B$2:B$958,$Z$1-(ROW()-2)),
IF(ROW()-1&lt;=$Z$1+$Z$2,
   INDEX(auditor_1!B$2:B$785,$Z$2-(ROW()-$Z$1-2)),
""))</f>
        <v/>
      </c>
      <c r="C132" t="str">
        <f>IFERROR(VLOOKUP(B132,Data!$B:$Q,16,FALSE),"")</f>
        <v/>
      </c>
      <c r="D132" t="str">
        <f>IFERROR(VLOOKUP(B132,Data!$B:$Q,3,FALSE),"")</f>
        <v/>
      </c>
      <c r="E132" t="str">
        <f>IF(B132="","",
IF(ROW()-1&lt;=$Z$1,
   INDEX(auditor_2!F$2:F$958,$Z$1-(ROW()-2)),
   INDEX(auditor_1!F$2:F$785,$Z$2-(ROW()-$Z$1-2))
))</f>
        <v/>
      </c>
      <c r="F132" t="str">
        <f>IF(B132="","",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2" t="str">
        <f>IF(B132="","",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2" t="str">
        <f>IFERROR(VLOOKUP(B132,Data!$B:$Q,15,FALSE),"")</f>
        <v/>
      </c>
      <c r="I132" t="str">
        <f>IF(B132="","",
IF(ROW()-1&lt;=$Z$1,
   INDEX(auditor_2!A$2:A$958,$Z$1-(ROW()-2)),
   INDEX(auditor_1!A$2:A$785,$Z$2-(ROW()-$Z$1-2))
))</f>
        <v/>
      </c>
      <c r="K132" t="str">
        <f>IF(AND(F132&lt;&gt;0, B132&lt;&gt;""), MAX($K$1:K131)+1, "")</f>
        <v/>
      </c>
    </row>
    <row r="133" spans="1:11" x14ac:dyDescent="0.25">
      <c r="A133" t="str">
        <f t="shared" si="2"/>
        <v/>
      </c>
      <c r="B133" t="str">
        <f>IF(ROW()-1&lt;=$Z$1,
   INDEX(auditor_2!B$2:B$958,$Z$1-(ROW()-2)),
IF(ROW()-1&lt;=$Z$1+$Z$2,
   INDEX(auditor_1!B$2:B$785,$Z$2-(ROW()-$Z$1-2)),
""))</f>
        <v/>
      </c>
      <c r="C133" t="str">
        <f>IFERROR(VLOOKUP(B133,Data!$B:$Q,16,FALSE),"")</f>
        <v/>
      </c>
      <c r="D133" t="str">
        <f>IFERROR(VLOOKUP(B133,Data!$B:$Q,3,FALSE),"")</f>
        <v/>
      </c>
      <c r="E133" t="str">
        <f>IF(B133="","",
IF(ROW()-1&lt;=$Z$1,
   INDEX(auditor_2!F$2:F$958,$Z$1-(ROW()-2)),
   INDEX(auditor_1!F$2:F$785,$Z$2-(ROW()-$Z$1-2))
))</f>
        <v/>
      </c>
      <c r="F133" t="str">
        <f>IF(B133="","",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3" t="str">
        <f>IF(B133="","",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3" t="str">
        <f>IFERROR(VLOOKUP(B133,Data!$B:$Q,15,FALSE),"")</f>
        <v/>
      </c>
      <c r="I133" t="str">
        <f>IF(B133="","",
IF(ROW()-1&lt;=$Z$1,
   INDEX(auditor_2!A$2:A$958,$Z$1-(ROW()-2)),
   INDEX(auditor_1!A$2:A$785,$Z$2-(ROW()-$Z$1-2))
))</f>
        <v/>
      </c>
      <c r="K133" t="str">
        <f>IF(AND(F133&lt;&gt;0, B133&lt;&gt;""), MAX($K$1:K132)+1, "")</f>
        <v/>
      </c>
    </row>
    <row r="134" spans="1:11" x14ac:dyDescent="0.25">
      <c r="A134" t="str">
        <f t="shared" si="2"/>
        <v/>
      </c>
      <c r="B134" t="str">
        <f>IF(ROW()-1&lt;=$Z$1,
   INDEX(auditor_2!B$2:B$958,$Z$1-(ROW()-2)),
IF(ROW()-1&lt;=$Z$1+$Z$2,
   INDEX(auditor_1!B$2:B$785,$Z$2-(ROW()-$Z$1-2)),
""))</f>
        <v/>
      </c>
      <c r="C134" t="str">
        <f>IFERROR(VLOOKUP(B134,Data!$B:$Q,16,FALSE),"")</f>
        <v/>
      </c>
      <c r="D134" t="str">
        <f>IFERROR(VLOOKUP(B134,Data!$B:$Q,3,FALSE),"")</f>
        <v/>
      </c>
      <c r="E134" t="str">
        <f>IF(B134="","",
IF(ROW()-1&lt;=$Z$1,
   INDEX(auditor_2!F$2:F$958,$Z$1-(ROW()-2)),
   INDEX(auditor_1!F$2:F$785,$Z$2-(ROW()-$Z$1-2))
))</f>
        <v/>
      </c>
      <c r="F134" t="str">
        <f>IF(B134="","",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4" t="str">
        <f>IF(B134="","",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4" t="str">
        <f>IFERROR(VLOOKUP(B134,Data!$B:$Q,15,FALSE),"")</f>
        <v/>
      </c>
      <c r="I134" t="str">
        <f>IF(B134="","",
IF(ROW()-1&lt;=$Z$1,
   INDEX(auditor_2!A$2:A$958,$Z$1-(ROW()-2)),
   INDEX(auditor_1!A$2:A$785,$Z$2-(ROW()-$Z$1-2))
))</f>
        <v/>
      </c>
      <c r="K134" t="str">
        <f>IF(AND(F134&lt;&gt;0, B134&lt;&gt;""), MAX($K$1:K133)+1, "")</f>
        <v/>
      </c>
    </row>
    <row r="135" spans="1:11" x14ac:dyDescent="0.25">
      <c r="A135" t="str">
        <f t="shared" si="2"/>
        <v/>
      </c>
      <c r="B135" t="str">
        <f>IF(ROW()-1&lt;=$Z$1,
   INDEX(auditor_2!B$2:B$958,$Z$1-(ROW()-2)),
IF(ROW()-1&lt;=$Z$1+$Z$2,
   INDEX(auditor_1!B$2:B$785,$Z$2-(ROW()-$Z$1-2)),
""))</f>
        <v/>
      </c>
      <c r="C135" t="str">
        <f>IFERROR(VLOOKUP(B135,Data!$B:$Q,16,FALSE),"")</f>
        <v/>
      </c>
      <c r="D135" t="str">
        <f>IFERROR(VLOOKUP(B135,Data!$B:$Q,3,FALSE),"")</f>
        <v/>
      </c>
      <c r="E135" t="str">
        <f>IF(B135="","",
IF(ROW()-1&lt;=$Z$1,
   INDEX(auditor_2!F$2:F$958,$Z$1-(ROW()-2)),
   INDEX(auditor_1!F$2:F$785,$Z$2-(ROW()-$Z$1-2))
))</f>
        <v/>
      </c>
      <c r="F135" t="str">
        <f>IF(B135="","",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5" t="str">
        <f>IF(B135="","",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5" t="str">
        <f>IFERROR(VLOOKUP(B135,Data!$B:$Q,15,FALSE),"")</f>
        <v/>
      </c>
      <c r="I135" t="str">
        <f>IF(B135="","",
IF(ROW()-1&lt;=$Z$1,
   INDEX(auditor_2!A$2:A$958,$Z$1-(ROW()-2)),
   INDEX(auditor_1!A$2:A$785,$Z$2-(ROW()-$Z$1-2))
))</f>
        <v/>
      </c>
      <c r="K135" t="str">
        <f>IF(AND(F135&lt;&gt;0, B135&lt;&gt;""), MAX($K$1:K134)+1, "")</f>
        <v/>
      </c>
    </row>
    <row r="136" spans="1:11" x14ac:dyDescent="0.25">
      <c r="A136" t="str">
        <f t="shared" si="2"/>
        <v/>
      </c>
      <c r="B136" t="str">
        <f>IF(ROW()-1&lt;=$Z$1,
   INDEX(auditor_2!B$2:B$958,$Z$1-(ROW()-2)),
IF(ROW()-1&lt;=$Z$1+$Z$2,
   INDEX(auditor_1!B$2:B$785,$Z$2-(ROW()-$Z$1-2)),
""))</f>
        <v/>
      </c>
      <c r="C136" t="str">
        <f>IFERROR(VLOOKUP(B136,Data!$B:$Q,16,FALSE),"")</f>
        <v/>
      </c>
      <c r="D136" t="str">
        <f>IFERROR(VLOOKUP(B136,Data!$B:$Q,3,FALSE),"")</f>
        <v/>
      </c>
      <c r="E136" t="str">
        <f>IF(B136="","",
IF(ROW()-1&lt;=$Z$1,
   INDEX(auditor_2!F$2:F$958,$Z$1-(ROW()-2)),
   INDEX(auditor_1!F$2:F$785,$Z$2-(ROW()-$Z$1-2))
))</f>
        <v/>
      </c>
      <c r="F136" t="str">
        <f>IF(B136="","",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6" t="str">
        <f>IF(B136="","",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6" t="str">
        <f>IFERROR(VLOOKUP(B136,Data!$B:$Q,15,FALSE),"")</f>
        <v/>
      </c>
      <c r="I136" t="str">
        <f>IF(B136="","",
IF(ROW()-1&lt;=$Z$1,
   INDEX(auditor_2!A$2:A$958,$Z$1-(ROW()-2)),
   INDEX(auditor_1!A$2:A$785,$Z$2-(ROW()-$Z$1-2))
))</f>
        <v/>
      </c>
      <c r="K136" t="str">
        <f>IF(AND(F136&lt;&gt;0, B136&lt;&gt;""), MAX($K$1:K135)+1, "")</f>
        <v/>
      </c>
    </row>
    <row r="137" spans="1:11" x14ac:dyDescent="0.25">
      <c r="A137" t="str">
        <f t="shared" si="2"/>
        <v/>
      </c>
      <c r="B137" t="str">
        <f>IF(ROW()-1&lt;=$Z$1,
   INDEX(auditor_2!B$2:B$958,$Z$1-(ROW()-2)),
IF(ROW()-1&lt;=$Z$1+$Z$2,
   INDEX(auditor_1!B$2:B$785,$Z$2-(ROW()-$Z$1-2)),
""))</f>
        <v/>
      </c>
      <c r="C137" t="str">
        <f>IFERROR(VLOOKUP(B137,Data!$B:$Q,16,FALSE),"")</f>
        <v/>
      </c>
      <c r="D137" t="str">
        <f>IFERROR(VLOOKUP(B137,Data!$B:$Q,3,FALSE),"")</f>
        <v/>
      </c>
      <c r="E137" t="str">
        <f>IF(B137="","",
IF(ROW()-1&lt;=$Z$1,
   INDEX(auditor_2!F$2:F$958,$Z$1-(ROW()-2)),
   INDEX(auditor_1!F$2:F$785,$Z$2-(ROW()-$Z$1-2))
))</f>
        <v/>
      </c>
      <c r="F137" t="str">
        <f>IF(B137="","",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7" t="str">
        <f>IF(B137="","",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7" t="str">
        <f>IFERROR(VLOOKUP(B137,Data!$B:$Q,15,FALSE),"")</f>
        <v/>
      </c>
      <c r="I137" t="str">
        <f>IF(B137="","",
IF(ROW()-1&lt;=$Z$1,
   INDEX(auditor_2!A$2:A$958,$Z$1-(ROW()-2)),
   INDEX(auditor_1!A$2:A$785,$Z$2-(ROW()-$Z$1-2))
))</f>
        <v/>
      </c>
      <c r="K137" t="str">
        <f>IF(AND(F137&lt;&gt;0, B137&lt;&gt;""), MAX($K$1:K136)+1, "")</f>
        <v/>
      </c>
    </row>
    <row r="138" spans="1:11" x14ac:dyDescent="0.25">
      <c r="A138" t="str">
        <f t="shared" si="2"/>
        <v/>
      </c>
      <c r="B138" t="str">
        <f>IF(ROW()-1&lt;=$Z$1,
   INDEX(auditor_2!B$2:B$958,$Z$1-(ROW()-2)),
IF(ROW()-1&lt;=$Z$1+$Z$2,
   INDEX(auditor_1!B$2:B$785,$Z$2-(ROW()-$Z$1-2)),
""))</f>
        <v/>
      </c>
      <c r="C138" t="str">
        <f>IFERROR(VLOOKUP(B138,Data!$B:$Q,16,FALSE),"")</f>
        <v/>
      </c>
      <c r="D138" t="str">
        <f>IFERROR(VLOOKUP(B138,Data!$B:$Q,3,FALSE),"")</f>
        <v/>
      </c>
      <c r="E138" t="str">
        <f>IF(B138="","",
IF(ROW()-1&lt;=$Z$1,
   INDEX(auditor_2!F$2:F$958,$Z$1-(ROW()-2)),
   INDEX(auditor_1!F$2:F$785,$Z$2-(ROW()-$Z$1-2))
))</f>
        <v/>
      </c>
      <c r="F138" t="str">
        <f>IF(B138="","",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8" t="str">
        <f>IF(B138="","",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8" t="str">
        <f>IFERROR(VLOOKUP(B138,Data!$B:$Q,15,FALSE),"")</f>
        <v/>
      </c>
      <c r="I138" t="str">
        <f>IF(B138="","",
IF(ROW()-1&lt;=$Z$1,
   INDEX(auditor_2!A$2:A$958,$Z$1-(ROW()-2)),
   INDEX(auditor_1!A$2:A$785,$Z$2-(ROW()-$Z$1-2))
))</f>
        <v/>
      </c>
      <c r="K138" t="str">
        <f>IF(AND(F138&lt;&gt;0, B138&lt;&gt;""), MAX($K$1:K137)+1, "")</f>
        <v/>
      </c>
    </row>
    <row r="139" spans="1:11" x14ac:dyDescent="0.25">
      <c r="A139" t="str">
        <f t="shared" si="2"/>
        <v/>
      </c>
      <c r="B139" t="str">
        <f>IF(ROW()-1&lt;=$Z$1,
   INDEX(auditor_2!B$2:B$958,$Z$1-(ROW()-2)),
IF(ROW()-1&lt;=$Z$1+$Z$2,
   INDEX(auditor_1!B$2:B$785,$Z$2-(ROW()-$Z$1-2)),
""))</f>
        <v/>
      </c>
      <c r="C139" t="str">
        <f>IFERROR(VLOOKUP(B139,Data!$B:$Q,16,FALSE),"")</f>
        <v/>
      </c>
      <c r="D139" t="str">
        <f>IFERROR(VLOOKUP(B139,Data!$B:$Q,3,FALSE),"")</f>
        <v/>
      </c>
      <c r="E139" t="str">
        <f>IF(B139="","",
IF(ROW()-1&lt;=$Z$1,
   INDEX(auditor_2!F$2:F$958,$Z$1-(ROW()-2)),
   INDEX(auditor_1!F$2:F$785,$Z$2-(ROW()-$Z$1-2))
))</f>
        <v/>
      </c>
      <c r="F139" t="str">
        <f>IF(B139="","",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9" t="str">
        <f>IF(B139="","",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9" t="str">
        <f>IFERROR(VLOOKUP(B139,Data!$B:$Q,15,FALSE),"")</f>
        <v/>
      </c>
      <c r="I139" t="str">
        <f>IF(B139="","",
IF(ROW()-1&lt;=$Z$1,
   INDEX(auditor_2!A$2:A$958,$Z$1-(ROW()-2)),
   INDEX(auditor_1!A$2:A$785,$Z$2-(ROW()-$Z$1-2))
))</f>
        <v/>
      </c>
      <c r="K139" t="str">
        <f>IF(AND(F139&lt;&gt;0, B139&lt;&gt;""), MAX($K$1:K138)+1, "")</f>
        <v/>
      </c>
    </row>
    <row r="140" spans="1:11" x14ac:dyDescent="0.25">
      <c r="A140" t="str">
        <f t="shared" si="2"/>
        <v/>
      </c>
      <c r="B140" t="str">
        <f>IF(ROW()-1&lt;=$Z$1,
   INDEX(auditor_2!B$2:B$958,$Z$1-(ROW()-2)),
IF(ROW()-1&lt;=$Z$1+$Z$2,
   INDEX(auditor_1!B$2:B$785,$Z$2-(ROW()-$Z$1-2)),
""))</f>
        <v/>
      </c>
      <c r="C140" t="str">
        <f>IFERROR(VLOOKUP(B140,Data!$B:$Q,16,FALSE),"")</f>
        <v/>
      </c>
      <c r="D140" t="str">
        <f>IFERROR(VLOOKUP(B140,Data!$B:$Q,3,FALSE),"")</f>
        <v/>
      </c>
      <c r="E140" t="str">
        <f>IF(B140="","",
IF(ROW()-1&lt;=$Z$1,
   INDEX(auditor_2!F$2:F$958,$Z$1-(ROW()-2)),
   INDEX(auditor_1!F$2:F$785,$Z$2-(ROW()-$Z$1-2))
))</f>
        <v/>
      </c>
      <c r="F140" t="str">
        <f>IF(B140="","",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0" t="str">
        <f>IF(B140="","",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0" t="str">
        <f>IFERROR(VLOOKUP(B140,Data!$B:$Q,15,FALSE),"")</f>
        <v/>
      </c>
      <c r="I140" t="str">
        <f>IF(B140="","",
IF(ROW()-1&lt;=$Z$1,
   INDEX(auditor_2!A$2:A$958,$Z$1-(ROW()-2)),
   INDEX(auditor_1!A$2:A$785,$Z$2-(ROW()-$Z$1-2))
))</f>
        <v/>
      </c>
      <c r="K140" t="str">
        <f>IF(AND(F140&lt;&gt;0, B140&lt;&gt;""), MAX($K$1:K139)+1, "")</f>
        <v/>
      </c>
    </row>
    <row r="141" spans="1:11" x14ac:dyDescent="0.25">
      <c r="A141" t="str">
        <f t="shared" si="2"/>
        <v/>
      </c>
      <c r="B141" t="str">
        <f>IF(ROW()-1&lt;=$Z$1,
   INDEX(auditor_2!B$2:B$958,$Z$1-(ROW()-2)),
IF(ROW()-1&lt;=$Z$1+$Z$2,
   INDEX(auditor_1!B$2:B$785,$Z$2-(ROW()-$Z$1-2)),
""))</f>
        <v/>
      </c>
      <c r="C141" t="str">
        <f>IFERROR(VLOOKUP(B141,Data!$B:$Q,16,FALSE),"")</f>
        <v/>
      </c>
      <c r="D141" t="str">
        <f>IFERROR(VLOOKUP(B141,Data!$B:$Q,3,FALSE),"")</f>
        <v/>
      </c>
      <c r="E141" t="str">
        <f>IF(B141="","",
IF(ROW()-1&lt;=$Z$1,
   INDEX(auditor_2!F$2:F$958,$Z$1-(ROW()-2)),
   INDEX(auditor_1!F$2:F$785,$Z$2-(ROW()-$Z$1-2))
))</f>
        <v/>
      </c>
      <c r="F141" t="str">
        <f>IF(B141="","",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1" t="str">
        <f>IF(B141="","",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1" t="str">
        <f>IFERROR(VLOOKUP(B141,Data!$B:$Q,15,FALSE),"")</f>
        <v/>
      </c>
      <c r="I141" t="str">
        <f>IF(B141="","",
IF(ROW()-1&lt;=$Z$1,
   INDEX(auditor_2!A$2:A$958,$Z$1-(ROW()-2)),
   INDEX(auditor_1!A$2:A$785,$Z$2-(ROW()-$Z$1-2))
))</f>
        <v/>
      </c>
      <c r="K141" t="str">
        <f>IF(AND(F141&lt;&gt;0, B141&lt;&gt;""), MAX($K$1:K140)+1, "")</f>
        <v/>
      </c>
    </row>
    <row r="142" spans="1:11" x14ac:dyDescent="0.25">
      <c r="A142" t="str">
        <f t="shared" si="2"/>
        <v/>
      </c>
      <c r="B142" t="str">
        <f>IF(ROW()-1&lt;=$Z$1,
   INDEX(auditor_2!B$2:B$958,$Z$1-(ROW()-2)),
IF(ROW()-1&lt;=$Z$1+$Z$2,
   INDEX(auditor_1!B$2:B$785,$Z$2-(ROW()-$Z$1-2)),
""))</f>
        <v/>
      </c>
      <c r="C142" t="str">
        <f>IFERROR(VLOOKUP(B142,Data!$B:$Q,16,FALSE),"")</f>
        <v/>
      </c>
      <c r="D142" t="str">
        <f>IFERROR(VLOOKUP(B142,Data!$B:$Q,3,FALSE),"")</f>
        <v/>
      </c>
      <c r="E142" t="str">
        <f>IF(B142="","",
IF(ROW()-1&lt;=$Z$1,
   INDEX(auditor_2!F$2:F$958,$Z$1-(ROW()-2)),
   INDEX(auditor_1!F$2:F$785,$Z$2-(ROW()-$Z$1-2))
))</f>
        <v/>
      </c>
      <c r="F142" t="str">
        <f>IF(B142="","",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2" t="str">
        <f>IF(B142="","",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2" t="str">
        <f>IFERROR(VLOOKUP(B142,Data!$B:$Q,15,FALSE),"")</f>
        <v/>
      </c>
      <c r="I142" t="str">
        <f>IF(B142="","",
IF(ROW()-1&lt;=$Z$1,
   INDEX(auditor_2!A$2:A$958,$Z$1-(ROW()-2)),
   INDEX(auditor_1!A$2:A$785,$Z$2-(ROW()-$Z$1-2))
))</f>
        <v/>
      </c>
      <c r="K142" t="str">
        <f>IF(AND(F142&lt;&gt;0, B142&lt;&gt;""), MAX($K$1:K141)+1, "")</f>
        <v/>
      </c>
    </row>
    <row r="143" spans="1:11" x14ac:dyDescent="0.25">
      <c r="A143" t="str">
        <f t="shared" si="2"/>
        <v/>
      </c>
      <c r="B143" t="str">
        <f>IF(ROW()-1&lt;=$Z$1,
   INDEX(auditor_2!B$2:B$958,$Z$1-(ROW()-2)),
IF(ROW()-1&lt;=$Z$1+$Z$2,
   INDEX(auditor_1!B$2:B$785,$Z$2-(ROW()-$Z$1-2)),
""))</f>
        <v/>
      </c>
      <c r="C143" t="str">
        <f>IFERROR(VLOOKUP(B143,Data!$B:$Q,16,FALSE),"")</f>
        <v/>
      </c>
      <c r="D143" t="str">
        <f>IFERROR(VLOOKUP(B143,Data!$B:$Q,3,FALSE),"")</f>
        <v/>
      </c>
      <c r="E143" t="str">
        <f>IF(B143="","",
IF(ROW()-1&lt;=$Z$1,
   INDEX(auditor_2!F$2:F$958,$Z$1-(ROW()-2)),
   INDEX(auditor_1!F$2:F$785,$Z$2-(ROW()-$Z$1-2))
))</f>
        <v/>
      </c>
      <c r="F143" t="str">
        <f>IF(B143="","",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3" t="str">
        <f>IF(B143="","",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3" t="str">
        <f>IFERROR(VLOOKUP(B143,Data!$B:$Q,15,FALSE),"")</f>
        <v/>
      </c>
      <c r="I143" t="str">
        <f>IF(B143="","",
IF(ROW()-1&lt;=$Z$1,
   INDEX(auditor_2!A$2:A$958,$Z$1-(ROW()-2)),
   INDEX(auditor_1!A$2:A$785,$Z$2-(ROW()-$Z$1-2))
))</f>
        <v/>
      </c>
      <c r="K143" t="str">
        <f>IF(AND(F143&lt;&gt;0, B143&lt;&gt;""), MAX($K$1:K142)+1, "")</f>
        <v/>
      </c>
    </row>
    <row r="144" spans="1:11" x14ac:dyDescent="0.25">
      <c r="A144" t="str">
        <f t="shared" si="2"/>
        <v/>
      </c>
      <c r="B144" t="str">
        <f>IF(ROW()-1&lt;=$Z$1,
   INDEX(auditor_2!B$2:B$958,$Z$1-(ROW()-2)),
IF(ROW()-1&lt;=$Z$1+$Z$2,
   INDEX(auditor_1!B$2:B$785,$Z$2-(ROW()-$Z$1-2)),
""))</f>
        <v/>
      </c>
      <c r="C144" t="str">
        <f>IFERROR(VLOOKUP(B144,Data!$B:$Q,16,FALSE),"")</f>
        <v/>
      </c>
      <c r="D144" t="str">
        <f>IFERROR(VLOOKUP(B144,Data!$B:$Q,3,FALSE),"")</f>
        <v/>
      </c>
      <c r="E144" t="str">
        <f>IF(B144="","",
IF(ROW()-1&lt;=$Z$1,
   INDEX(auditor_2!F$2:F$958,$Z$1-(ROW()-2)),
   INDEX(auditor_1!F$2:F$785,$Z$2-(ROW()-$Z$1-2))
))</f>
        <v/>
      </c>
      <c r="F144" t="str">
        <f>IF(B144="","",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4" t="str">
        <f>IF(B144="","",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4" t="str">
        <f>IFERROR(VLOOKUP(B144,Data!$B:$Q,15,FALSE),"")</f>
        <v/>
      </c>
      <c r="I144" t="str">
        <f>IF(B144="","",
IF(ROW()-1&lt;=$Z$1,
   INDEX(auditor_2!A$2:A$958,$Z$1-(ROW()-2)),
   INDEX(auditor_1!A$2:A$785,$Z$2-(ROW()-$Z$1-2))
))</f>
        <v/>
      </c>
      <c r="K144" t="str">
        <f>IF(AND(F144&lt;&gt;0, B144&lt;&gt;""), MAX($K$1:K143)+1, "")</f>
        <v/>
      </c>
    </row>
    <row r="145" spans="1:11" x14ac:dyDescent="0.25">
      <c r="A145" t="str">
        <f t="shared" si="2"/>
        <v/>
      </c>
      <c r="B145" t="str">
        <f>IF(ROW()-1&lt;=$Z$1,
   INDEX(auditor_2!B$2:B$958,$Z$1-(ROW()-2)),
IF(ROW()-1&lt;=$Z$1+$Z$2,
   INDEX(auditor_1!B$2:B$785,$Z$2-(ROW()-$Z$1-2)),
""))</f>
        <v/>
      </c>
      <c r="C145" t="str">
        <f>IFERROR(VLOOKUP(B145,Data!$B:$Q,16,FALSE),"")</f>
        <v/>
      </c>
      <c r="D145" t="str">
        <f>IFERROR(VLOOKUP(B145,Data!$B:$Q,3,FALSE),"")</f>
        <v/>
      </c>
      <c r="E145" t="str">
        <f>IF(B145="","",
IF(ROW()-1&lt;=$Z$1,
   INDEX(auditor_2!F$2:F$958,$Z$1-(ROW()-2)),
   INDEX(auditor_1!F$2:F$785,$Z$2-(ROW()-$Z$1-2))
))</f>
        <v/>
      </c>
      <c r="F145" t="str">
        <f>IF(B145="","",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5" t="str">
        <f>IF(B145="","",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5" t="str">
        <f>IFERROR(VLOOKUP(B145,Data!$B:$Q,15,FALSE),"")</f>
        <v/>
      </c>
      <c r="I145" t="str">
        <f>IF(B145="","",
IF(ROW()-1&lt;=$Z$1,
   INDEX(auditor_2!A$2:A$958,$Z$1-(ROW()-2)),
   INDEX(auditor_1!A$2:A$785,$Z$2-(ROW()-$Z$1-2))
))</f>
        <v/>
      </c>
      <c r="K145" t="str">
        <f>IF(AND(F145&lt;&gt;0, B145&lt;&gt;""), MAX($K$1:K144)+1, "")</f>
        <v/>
      </c>
    </row>
    <row r="146" spans="1:11" x14ac:dyDescent="0.25">
      <c r="A146" t="str">
        <f t="shared" si="2"/>
        <v/>
      </c>
      <c r="B146" t="str">
        <f>IF(ROW()-1&lt;=$Z$1,
   INDEX(auditor_2!B$2:B$958,$Z$1-(ROW()-2)),
IF(ROW()-1&lt;=$Z$1+$Z$2,
   INDEX(auditor_1!B$2:B$785,$Z$2-(ROW()-$Z$1-2)),
""))</f>
        <v/>
      </c>
      <c r="C146" t="str">
        <f>IFERROR(VLOOKUP(B146,Data!$B:$Q,16,FALSE),"")</f>
        <v/>
      </c>
      <c r="D146" t="str">
        <f>IFERROR(VLOOKUP(B146,Data!$B:$Q,3,FALSE),"")</f>
        <v/>
      </c>
      <c r="E146" t="str">
        <f>IF(B146="","",
IF(ROW()-1&lt;=$Z$1,
   INDEX(auditor_2!F$2:F$958,$Z$1-(ROW()-2)),
   INDEX(auditor_1!F$2:F$785,$Z$2-(ROW()-$Z$1-2))
))</f>
        <v/>
      </c>
      <c r="F146" t="str">
        <f>IF(B146="","",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6" t="str">
        <f>IF(B146="","",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6" t="str">
        <f>IFERROR(VLOOKUP(B146,Data!$B:$Q,15,FALSE),"")</f>
        <v/>
      </c>
      <c r="I146" t="str">
        <f>IF(B146="","",
IF(ROW()-1&lt;=$Z$1,
   INDEX(auditor_2!A$2:A$958,$Z$1-(ROW()-2)),
   INDEX(auditor_1!A$2:A$785,$Z$2-(ROW()-$Z$1-2))
))</f>
        <v/>
      </c>
      <c r="K146" t="str">
        <f>IF(AND(F146&lt;&gt;0, B146&lt;&gt;""), MAX($K$1:K145)+1, "")</f>
        <v/>
      </c>
    </row>
    <row r="147" spans="1:11" x14ac:dyDescent="0.25">
      <c r="A147" t="str">
        <f t="shared" si="2"/>
        <v/>
      </c>
      <c r="B147" t="str">
        <f>IF(ROW()-1&lt;=$Z$1,
   INDEX(auditor_2!B$2:B$958,$Z$1-(ROW()-2)),
IF(ROW()-1&lt;=$Z$1+$Z$2,
   INDEX(auditor_1!B$2:B$785,$Z$2-(ROW()-$Z$1-2)),
""))</f>
        <v/>
      </c>
      <c r="C147" t="str">
        <f>IFERROR(VLOOKUP(B147,Data!$B:$Q,16,FALSE),"")</f>
        <v/>
      </c>
      <c r="D147" t="str">
        <f>IFERROR(VLOOKUP(B147,Data!$B:$Q,3,FALSE),"")</f>
        <v/>
      </c>
      <c r="E147" t="str">
        <f>IF(B147="","",
IF(ROW()-1&lt;=$Z$1,
   INDEX(auditor_2!F$2:F$958,$Z$1-(ROW()-2)),
   INDEX(auditor_1!F$2:F$785,$Z$2-(ROW()-$Z$1-2))
))</f>
        <v/>
      </c>
      <c r="F147" t="str">
        <f>IF(B147="","",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7" t="str">
        <f>IF(B147="","",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7" t="str">
        <f>IFERROR(VLOOKUP(B147,Data!$B:$Q,15,FALSE),"")</f>
        <v/>
      </c>
      <c r="I147" t="str">
        <f>IF(B147="","",
IF(ROW()-1&lt;=$Z$1,
   INDEX(auditor_2!A$2:A$958,$Z$1-(ROW()-2)),
   INDEX(auditor_1!A$2:A$785,$Z$2-(ROW()-$Z$1-2))
))</f>
        <v/>
      </c>
      <c r="K147" t="str">
        <f>IF(AND(F147&lt;&gt;0, B147&lt;&gt;""), MAX($K$1:K146)+1, "")</f>
        <v/>
      </c>
    </row>
    <row r="148" spans="1:11" x14ac:dyDescent="0.25">
      <c r="A148" t="str">
        <f t="shared" si="2"/>
        <v/>
      </c>
      <c r="B148" t="str">
        <f>IF(ROW()-1&lt;=$Z$1,
   INDEX(auditor_2!B$2:B$958,$Z$1-(ROW()-2)),
IF(ROW()-1&lt;=$Z$1+$Z$2,
   INDEX(auditor_1!B$2:B$785,$Z$2-(ROW()-$Z$1-2)),
""))</f>
        <v/>
      </c>
      <c r="C148" t="str">
        <f>IFERROR(VLOOKUP(B148,Data!$B:$Q,16,FALSE),"")</f>
        <v/>
      </c>
      <c r="D148" t="str">
        <f>IFERROR(VLOOKUP(B148,Data!$B:$Q,3,FALSE),"")</f>
        <v/>
      </c>
      <c r="E148" t="str">
        <f>IF(B148="","",
IF(ROW()-1&lt;=$Z$1,
   INDEX(auditor_2!F$2:F$958,$Z$1-(ROW()-2)),
   INDEX(auditor_1!F$2:F$785,$Z$2-(ROW()-$Z$1-2))
))</f>
        <v/>
      </c>
      <c r="F148" t="str">
        <f>IF(B148="","",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8" t="str">
        <f>IF(B148="","",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8" t="str">
        <f>IFERROR(VLOOKUP(B148,Data!$B:$Q,15,FALSE),"")</f>
        <v/>
      </c>
      <c r="I148" t="str">
        <f>IF(B148="","",
IF(ROW()-1&lt;=$Z$1,
   INDEX(auditor_2!A$2:A$958,$Z$1-(ROW()-2)),
   INDEX(auditor_1!A$2:A$785,$Z$2-(ROW()-$Z$1-2))
))</f>
        <v/>
      </c>
      <c r="K148" t="str">
        <f>IF(AND(F148&lt;&gt;0, B148&lt;&gt;""), MAX($K$1:K147)+1, "")</f>
        <v/>
      </c>
    </row>
    <row r="149" spans="1:11" x14ac:dyDescent="0.25">
      <c r="A149" t="str">
        <f t="shared" si="2"/>
        <v/>
      </c>
      <c r="B149" t="str">
        <f>IF(ROW()-1&lt;=$Z$1,
   INDEX(auditor_2!B$2:B$958,$Z$1-(ROW()-2)),
IF(ROW()-1&lt;=$Z$1+$Z$2,
   INDEX(auditor_1!B$2:B$785,$Z$2-(ROW()-$Z$1-2)),
""))</f>
        <v/>
      </c>
      <c r="C149" t="str">
        <f>IFERROR(VLOOKUP(B149,Data!$B:$Q,16,FALSE),"")</f>
        <v/>
      </c>
      <c r="D149" t="str">
        <f>IFERROR(VLOOKUP(B149,Data!$B:$Q,3,FALSE),"")</f>
        <v/>
      </c>
      <c r="E149" t="str">
        <f>IF(B149="","",
IF(ROW()-1&lt;=$Z$1,
   INDEX(auditor_2!F$2:F$958,$Z$1-(ROW()-2)),
   INDEX(auditor_1!F$2:F$785,$Z$2-(ROW()-$Z$1-2))
))</f>
        <v/>
      </c>
      <c r="F149" t="str">
        <f>IF(B149="","",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9" t="str">
        <f>IF(B149="","",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9" t="str">
        <f>IFERROR(VLOOKUP(B149,Data!$B:$Q,15,FALSE),"")</f>
        <v/>
      </c>
      <c r="I149" t="str">
        <f>IF(B149="","",
IF(ROW()-1&lt;=$Z$1,
   INDEX(auditor_2!A$2:A$958,$Z$1-(ROW()-2)),
   INDEX(auditor_1!A$2:A$785,$Z$2-(ROW()-$Z$1-2))
))</f>
        <v/>
      </c>
      <c r="K149" t="str">
        <f>IF(AND(F149&lt;&gt;0, B149&lt;&gt;""), MAX($K$1:K148)+1, "")</f>
        <v/>
      </c>
    </row>
    <row r="150" spans="1:11" x14ac:dyDescent="0.25">
      <c r="A150" t="str">
        <f t="shared" si="2"/>
        <v/>
      </c>
      <c r="B150" t="str">
        <f>IF(ROW()-1&lt;=$Z$1,
   INDEX(auditor_2!B$2:B$958,$Z$1-(ROW()-2)),
IF(ROW()-1&lt;=$Z$1+$Z$2,
   INDEX(auditor_1!B$2:B$785,$Z$2-(ROW()-$Z$1-2)),
""))</f>
        <v/>
      </c>
      <c r="C150" t="str">
        <f>IFERROR(VLOOKUP(B150,Data!$B:$Q,16,FALSE),"")</f>
        <v/>
      </c>
      <c r="D150" t="str">
        <f>IFERROR(VLOOKUP(B150,Data!$B:$Q,3,FALSE),"")</f>
        <v/>
      </c>
      <c r="E150" t="str">
        <f>IF(B150="","",
IF(ROW()-1&lt;=$Z$1,
   INDEX(auditor_2!F$2:F$958,$Z$1-(ROW()-2)),
   INDEX(auditor_1!F$2:F$785,$Z$2-(ROW()-$Z$1-2))
))</f>
        <v/>
      </c>
      <c r="F150" t="str">
        <f>IF(B150="","",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0" t="str">
        <f>IF(B150="","",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0" t="str">
        <f>IFERROR(VLOOKUP(B150,Data!$B:$Q,15,FALSE),"")</f>
        <v/>
      </c>
      <c r="I150" t="str">
        <f>IF(B150="","",
IF(ROW()-1&lt;=$Z$1,
   INDEX(auditor_2!A$2:A$958,$Z$1-(ROW()-2)),
   INDEX(auditor_1!A$2:A$785,$Z$2-(ROW()-$Z$1-2))
))</f>
        <v/>
      </c>
      <c r="K150" t="str">
        <f>IF(AND(F150&lt;&gt;0, B150&lt;&gt;""), MAX($K$1:K149)+1, "")</f>
        <v/>
      </c>
    </row>
    <row r="151" spans="1:11" x14ac:dyDescent="0.25">
      <c r="A151" t="str">
        <f t="shared" si="2"/>
        <v/>
      </c>
      <c r="B151" t="str">
        <f>IF(ROW()-1&lt;=$Z$1,
   INDEX(auditor_2!B$2:B$958,$Z$1-(ROW()-2)),
IF(ROW()-1&lt;=$Z$1+$Z$2,
   INDEX(auditor_1!B$2:B$785,$Z$2-(ROW()-$Z$1-2)),
""))</f>
        <v/>
      </c>
      <c r="C151" t="str">
        <f>IFERROR(VLOOKUP(B151,Data!$B:$Q,16,FALSE),"")</f>
        <v/>
      </c>
      <c r="D151" t="str">
        <f>IFERROR(VLOOKUP(B151,Data!$B:$Q,3,FALSE),"")</f>
        <v/>
      </c>
      <c r="E151" t="str">
        <f>IF(B151="","",
IF(ROW()-1&lt;=$Z$1,
   INDEX(auditor_2!F$2:F$958,$Z$1-(ROW()-2)),
   INDEX(auditor_1!F$2:F$785,$Z$2-(ROW()-$Z$1-2))
))</f>
        <v/>
      </c>
      <c r="F151" t="str">
        <f>IF(B151="","",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1" t="str">
        <f>IF(B151="","",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1" t="str">
        <f>IFERROR(VLOOKUP(B151,Data!$B:$Q,15,FALSE),"")</f>
        <v/>
      </c>
      <c r="I151" t="str">
        <f>IF(B151="","",
IF(ROW()-1&lt;=$Z$1,
   INDEX(auditor_2!A$2:A$958,$Z$1-(ROW()-2)),
   INDEX(auditor_1!A$2:A$785,$Z$2-(ROW()-$Z$1-2))
))</f>
        <v/>
      </c>
      <c r="K151" t="str">
        <f>IF(AND(F151&lt;&gt;0, B151&lt;&gt;""), MAX($K$1:K150)+1, "")</f>
        <v/>
      </c>
    </row>
    <row r="152" spans="1:11" x14ac:dyDescent="0.25">
      <c r="A152" t="str">
        <f t="shared" si="2"/>
        <v/>
      </c>
      <c r="B152" t="str">
        <f>IF(ROW()-1&lt;=$Z$1,
   INDEX(auditor_2!B$2:B$958,$Z$1-(ROW()-2)),
IF(ROW()-1&lt;=$Z$1+$Z$2,
   INDEX(auditor_1!B$2:B$785,$Z$2-(ROW()-$Z$1-2)),
""))</f>
        <v/>
      </c>
      <c r="C152" t="str">
        <f>IFERROR(VLOOKUP(B152,Data!$B:$Q,16,FALSE),"")</f>
        <v/>
      </c>
      <c r="D152" t="str">
        <f>IFERROR(VLOOKUP(B152,Data!$B:$Q,3,FALSE),"")</f>
        <v/>
      </c>
      <c r="E152" t="str">
        <f>IF(B152="","",
IF(ROW()-1&lt;=$Z$1,
   INDEX(auditor_2!F$2:F$958,$Z$1-(ROW()-2)),
   INDEX(auditor_1!F$2:F$785,$Z$2-(ROW()-$Z$1-2))
))</f>
        <v/>
      </c>
      <c r="F152" t="str">
        <f>IF(B152="","",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2" t="str">
        <f>IF(B152="","",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2" t="str">
        <f>IFERROR(VLOOKUP(B152,Data!$B:$Q,15,FALSE),"")</f>
        <v/>
      </c>
      <c r="I152" t="str">
        <f>IF(B152="","",
IF(ROW()-1&lt;=$Z$1,
   INDEX(auditor_2!A$2:A$958,$Z$1-(ROW()-2)),
   INDEX(auditor_1!A$2:A$785,$Z$2-(ROW()-$Z$1-2))
))</f>
        <v/>
      </c>
      <c r="K152" t="str">
        <f>IF(AND(F152&lt;&gt;0, B152&lt;&gt;""), MAX($K$1:K151)+1, "")</f>
        <v/>
      </c>
    </row>
    <row r="153" spans="1:11" x14ac:dyDescent="0.25">
      <c r="A153" t="str">
        <f t="shared" si="2"/>
        <v/>
      </c>
      <c r="B153" t="str">
        <f>IF(ROW()-1&lt;=$Z$1,
   INDEX(auditor_2!B$2:B$958,$Z$1-(ROW()-2)),
IF(ROW()-1&lt;=$Z$1+$Z$2,
   INDEX(auditor_1!B$2:B$785,$Z$2-(ROW()-$Z$1-2)),
""))</f>
        <v/>
      </c>
      <c r="C153" t="str">
        <f>IFERROR(VLOOKUP(B153,Data!$B:$Q,16,FALSE),"")</f>
        <v/>
      </c>
      <c r="D153" t="str">
        <f>IFERROR(VLOOKUP(B153,Data!$B:$Q,3,FALSE),"")</f>
        <v/>
      </c>
      <c r="E153" t="str">
        <f>IF(B153="","",
IF(ROW()-1&lt;=$Z$1,
   INDEX(auditor_2!F$2:F$958,$Z$1-(ROW()-2)),
   INDEX(auditor_1!F$2:F$785,$Z$2-(ROW()-$Z$1-2))
))</f>
        <v/>
      </c>
      <c r="F153" t="str">
        <f>IF(B153="","",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3" t="str">
        <f>IF(B153="","",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3" t="str">
        <f>IFERROR(VLOOKUP(B153,Data!$B:$Q,15,FALSE),"")</f>
        <v/>
      </c>
      <c r="I153" t="str">
        <f>IF(B153="","",
IF(ROW()-1&lt;=$Z$1,
   INDEX(auditor_2!A$2:A$958,$Z$1-(ROW()-2)),
   INDEX(auditor_1!A$2:A$785,$Z$2-(ROW()-$Z$1-2))
))</f>
        <v/>
      </c>
      <c r="K153" t="str">
        <f>IF(AND(F153&lt;&gt;0, B153&lt;&gt;""), MAX($K$1:K152)+1, "")</f>
        <v/>
      </c>
    </row>
    <row r="154" spans="1:11" x14ac:dyDescent="0.25">
      <c r="A154" t="str">
        <f t="shared" si="2"/>
        <v/>
      </c>
      <c r="B154" t="str">
        <f>IF(ROW()-1&lt;=$Z$1,
   INDEX(auditor_2!B$2:B$958,$Z$1-(ROW()-2)),
IF(ROW()-1&lt;=$Z$1+$Z$2,
   INDEX(auditor_1!B$2:B$785,$Z$2-(ROW()-$Z$1-2)),
""))</f>
        <v/>
      </c>
      <c r="C154" t="str">
        <f>IFERROR(VLOOKUP(B154,Data!$B:$Q,16,FALSE),"")</f>
        <v/>
      </c>
      <c r="D154" t="str">
        <f>IFERROR(VLOOKUP(B154,Data!$B:$Q,3,FALSE),"")</f>
        <v/>
      </c>
      <c r="E154" t="str">
        <f>IF(B154="","",
IF(ROW()-1&lt;=$Z$1,
   INDEX(auditor_2!F$2:F$958,$Z$1-(ROW()-2)),
   INDEX(auditor_1!F$2:F$785,$Z$2-(ROW()-$Z$1-2))
))</f>
        <v/>
      </c>
      <c r="F154" t="str">
        <f>IF(B154="","",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4" t="str">
        <f>IF(B154="","",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4" t="str">
        <f>IFERROR(VLOOKUP(B154,Data!$B:$Q,15,FALSE),"")</f>
        <v/>
      </c>
      <c r="I154" t="str">
        <f>IF(B154="","",
IF(ROW()-1&lt;=$Z$1,
   INDEX(auditor_2!A$2:A$958,$Z$1-(ROW()-2)),
   INDEX(auditor_1!A$2:A$785,$Z$2-(ROW()-$Z$1-2))
))</f>
        <v/>
      </c>
      <c r="K154" t="str">
        <f>IF(AND(F154&lt;&gt;0, B154&lt;&gt;""), MAX($K$1:K153)+1, "")</f>
        <v/>
      </c>
    </row>
    <row r="155" spans="1:11" x14ac:dyDescent="0.25">
      <c r="A155" t="str">
        <f t="shared" si="2"/>
        <v/>
      </c>
      <c r="B155" t="str">
        <f>IF(ROW()-1&lt;=$Z$1,
   INDEX(auditor_2!B$2:B$958,$Z$1-(ROW()-2)),
IF(ROW()-1&lt;=$Z$1+$Z$2,
   INDEX(auditor_1!B$2:B$785,$Z$2-(ROW()-$Z$1-2)),
""))</f>
        <v/>
      </c>
      <c r="C155" t="str">
        <f>IFERROR(VLOOKUP(B155,Data!$B:$Q,16,FALSE),"")</f>
        <v/>
      </c>
      <c r="D155" t="str">
        <f>IFERROR(VLOOKUP(B155,Data!$B:$Q,3,FALSE),"")</f>
        <v/>
      </c>
      <c r="E155" t="str">
        <f>IF(B155="","",
IF(ROW()-1&lt;=$Z$1,
   INDEX(auditor_2!F$2:F$958,$Z$1-(ROW()-2)),
   INDEX(auditor_1!F$2:F$785,$Z$2-(ROW()-$Z$1-2))
))</f>
        <v/>
      </c>
      <c r="F155" t="str">
        <f>IF(B155="","",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5" t="str">
        <f>IF(B155="","",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5" t="str">
        <f>IFERROR(VLOOKUP(B155,Data!$B:$Q,15,FALSE),"")</f>
        <v/>
      </c>
      <c r="I155" t="str">
        <f>IF(B155="","",
IF(ROW()-1&lt;=$Z$1,
   INDEX(auditor_2!A$2:A$958,$Z$1-(ROW()-2)),
   INDEX(auditor_1!A$2:A$785,$Z$2-(ROW()-$Z$1-2))
))</f>
        <v/>
      </c>
      <c r="K155" t="str">
        <f>IF(AND(F155&lt;&gt;0, B155&lt;&gt;""), MAX($K$1:K154)+1, "")</f>
        <v/>
      </c>
    </row>
    <row r="156" spans="1:11" x14ac:dyDescent="0.25">
      <c r="A156" t="str">
        <f t="shared" si="2"/>
        <v/>
      </c>
      <c r="B156" t="str">
        <f>IF(ROW()-1&lt;=$Z$1,
   INDEX(auditor_2!B$2:B$958,$Z$1-(ROW()-2)),
IF(ROW()-1&lt;=$Z$1+$Z$2,
   INDEX(auditor_1!B$2:B$785,$Z$2-(ROW()-$Z$1-2)),
""))</f>
        <v/>
      </c>
      <c r="C156" t="str">
        <f>IFERROR(VLOOKUP(B156,Data!$B:$Q,16,FALSE),"")</f>
        <v/>
      </c>
      <c r="D156" t="str">
        <f>IFERROR(VLOOKUP(B156,Data!$B:$Q,3,FALSE),"")</f>
        <v/>
      </c>
      <c r="E156" t="str">
        <f>IF(B156="","",
IF(ROW()-1&lt;=$Z$1,
   INDEX(auditor_2!F$2:F$958,$Z$1-(ROW()-2)),
   INDEX(auditor_1!F$2:F$785,$Z$2-(ROW()-$Z$1-2))
))</f>
        <v/>
      </c>
      <c r="F156" t="str">
        <f>IF(B156="","",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6" t="str">
        <f>IF(B156="","",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6" t="str">
        <f>IFERROR(VLOOKUP(B156,Data!$B:$Q,15,FALSE),"")</f>
        <v/>
      </c>
      <c r="I156" t="str">
        <f>IF(B156="","",
IF(ROW()-1&lt;=$Z$1,
   INDEX(auditor_2!A$2:A$958,$Z$1-(ROW()-2)),
   INDEX(auditor_1!A$2:A$785,$Z$2-(ROW()-$Z$1-2))
))</f>
        <v/>
      </c>
      <c r="K156" t="str">
        <f>IF(AND(F156&lt;&gt;0, B156&lt;&gt;""), MAX($K$1:K155)+1, "")</f>
        <v/>
      </c>
    </row>
    <row r="157" spans="1:11" x14ac:dyDescent="0.25">
      <c r="A157" t="str">
        <f t="shared" si="2"/>
        <v/>
      </c>
      <c r="B157" t="str">
        <f>IF(ROW()-1&lt;=$Z$1,
   INDEX(auditor_2!B$2:B$958,$Z$1-(ROW()-2)),
IF(ROW()-1&lt;=$Z$1+$Z$2,
   INDEX(auditor_1!B$2:B$785,$Z$2-(ROW()-$Z$1-2)),
""))</f>
        <v/>
      </c>
      <c r="C157" t="str">
        <f>IFERROR(VLOOKUP(B157,Data!$B:$Q,16,FALSE),"")</f>
        <v/>
      </c>
      <c r="D157" t="str">
        <f>IFERROR(VLOOKUP(B157,Data!$B:$Q,3,FALSE),"")</f>
        <v/>
      </c>
      <c r="E157" t="str">
        <f>IF(B157="","",
IF(ROW()-1&lt;=$Z$1,
   INDEX(auditor_2!F$2:F$958,$Z$1-(ROW()-2)),
   INDEX(auditor_1!F$2:F$785,$Z$2-(ROW()-$Z$1-2))
))</f>
        <v/>
      </c>
      <c r="F157" t="str">
        <f>IF(B157="","",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7" t="str">
        <f>IF(B157="","",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7" t="str">
        <f>IFERROR(VLOOKUP(B157,Data!$B:$Q,15,FALSE),"")</f>
        <v/>
      </c>
      <c r="I157" t="str">
        <f>IF(B157="","",
IF(ROW()-1&lt;=$Z$1,
   INDEX(auditor_2!A$2:A$958,$Z$1-(ROW()-2)),
   INDEX(auditor_1!A$2:A$785,$Z$2-(ROW()-$Z$1-2))
))</f>
        <v/>
      </c>
      <c r="K157" t="str">
        <f>IF(AND(F157&lt;&gt;0, B157&lt;&gt;""), MAX($K$1:K156)+1, "")</f>
        <v/>
      </c>
    </row>
    <row r="158" spans="1:11" x14ac:dyDescent="0.25">
      <c r="A158" t="str">
        <f t="shared" si="2"/>
        <v/>
      </c>
      <c r="B158" t="str">
        <f>IF(ROW()-1&lt;=$Z$1,
   INDEX(auditor_2!B$2:B$958,$Z$1-(ROW()-2)),
IF(ROW()-1&lt;=$Z$1+$Z$2,
   INDEX(auditor_1!B$2:B$785,$Z$2-(ROW()-$Z$1-2)),
""))</f>
        <v/>
      </c>
      <c r="C158" t="str">
        <f>IFERROR(VLOOKUP(B158,Data!$B:$Q,16,FALSE),"")</f>
        <v/>
      </c>
      <c r="D158" t="str">
        <f>IFERROR(VLOOKUP(B158,Data!$B:$Q,3,FALSE),"")</f>
        <v/>
      </c>
      <c r="E158" t="str">
        <f>IF(B158="","",
IF(ROW()-1&lt;=$Z$1,
   INDEX(auditor_2!F$2:F$958,$Z$1-(ROW()-2)),
   INDEX(auditor_1!F$2:F$785,$Z$2-(ROW()-$Z$1-2))
))</f>
        <v/>
      </c>
      <c r="F158" t="str">
        <f>IF(B158="","",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8" t="str">
        <f>IF(B158="","",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8" t="str">
        <f>IFERROR(VLOOKUP(B158,Data!$B:$Q,15,FALSE),"")</f>
        <v/>
      </c>
      <c r="I158" t="str">
        <f>IF(B158="","",
IF(ROW()-1&lt;=$Z$1,
   INDEX(auditor_2!A$2:A$958,$Z$1-(ROW()-2)),
   INDEX(auditor_1!A$2:A$785,$Z$2-(ROW()-$Z$1-2))
))</f>
        <v/>
      </c>
      <c r="K158" t="str">
        <f>IF(AND(F158&lt;&gt;0, B158&lt;&gt;""), MAX($K$1:K157)+1, "")</f>
        <v/>
      </c>
    </row>
    <row r="159" spans="1:11" x14ac:dyDescent="0.25">
      <c r="A159" t="str">
        <f t="shared" si="2"/>
        <v/>
      </c>
      <c r="B159" t="str">
        <f>IF(ROW()-1&lt;=$Z$1,
   INDEX(auditor_2!B$2:B$958,$Z$1-(ROW()-2)),
IF(ROW()-1&lt;=$Z$1+$Z$2,
   INDEX(auditor_1!B$2:B$785,$Z$2-(ROW()-$Z$1-2)),
""))</f>
        <v/>
      </c>
      <c r="C159" t="str">
        <f>IFERROR(VLOOKUP(B159,Data!$B:$Q,16,FALSE),"")</f>
        <v/>
      </c>
      <c r="D159" t="str">
        <f>IFERROR(VLOOKUP(B159,Data!$B:$Q,3,FALSE),"")</f>
        <v/>
      </c>
      <c r="E159" t="str">
        <f>IF(B159="","",
IF(ROW()-1&lt;=$Z$1,
   INDEX(auditor_2!F$2:F$958,$Z$1-(ROW()-2)),
   INDEX(auditor_1!F$2:F$785,$Z$2-(ROW()-$Z$1-2))
))</f>
        <v/>
      </c>
      <c r="F159" t="str">
        <f>IF(B159="","",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9" t="str">
        <f>IF(B159="","",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9" t="str">
        <f>IFERROR(VLOOKUP(B159,Data!$B:$Q,15,FALSE),"")</f>
        <v/>
      </c>
      <c r="I159" t="str">
        <f>IF(B159="","",
IF(ROW()-1&lt;=$Z$1,
   INDEX(auditor_2!A$2:A$958,$Z$1-(ROW()-2)),
   INDEX(auditor_1!A$2:A$785,$Z$2-(ROW()-$Z$1-2))
))</f>
        <v/>
      </c>
      <c r="K159" t="str">
        <f>IF(AND(F159&lt;&gt;0, B159&lt;&gt;""), MAX($K$1:K158)+1, "")</f>
        <v/>
      </c>
    </row>
    <row r="160" spans="1:11" x14ac:dyDescent="0.25">
      <c r="A160" t="str">
        <f t="shared" si="2"/>
        <v/>
      </c>
      <c r="B160" t="str">
        <f>IF(ROW()-1&lt;=$Z$1,
   INDEX(auditor_2!B$2:B$958,$Z$1-(ROW()-2)),
IF(ROW()-1&lt;=$Z$1+$Z$2,
   INDEX(auditor_1!B$2:B$785,$Z$2-(ROW()-$Z$1-2)),
""))</f>
        <v/>
      </c>
      <c r="C160" t="str">
        <f>IFERROR(VLOOKUP(B160,Data!$B:$Q,16,FALSE),"")</f>
        <v/>
      </c>
      <c r="D160" t="str">
        <f>IFERROR(VLOOKUP(B160,Data!$B:$Q,3,FALSE),"")</f>
        <v/>
      </c>
      <c r="E160" t="str">
        <f>IF(B160="","",
IF(ROW()-1&lt;=$Z$1,
   INDEX(auditor_2!F$2:F$958,$Z$1-(ROW()-2)),
   INDEX(auditor_1!F$2:F$785,$Z$2-(ROW()-$Z$1-2))
))</f>
        <v/>
      </c>
      <c r="F160" t="str">
        <f>IF(B160="","",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0" t="str">
        <f>IF(B160="","",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0" t="str">
        <f>IFERROR(VLOOKUP(B160,Data!$B:$Q,15,FALSE),"")</f>
        <v/>
      </c>
      <c r="I160" t="str">
        <f>IF(B160="","",
IF(ROW()-1&lt;=$Z$1,
   INDEX(auditor_2!A$2:A$958,$Z$1-(ROW()-2)),
   INDEX(auditor_1!A$2:A$785,$Z$2-(ROW()-$Z$1-2))
))</f>
        <v/>
      </c>
      <c r="K160" t="str">
        <f>IF(AND(F160&lt;&gt;0, B160&lt;&gt;""), MAX($K$1:K159)+1, "")</f>
        <v/>
      </c>
    </row>
    <row r="161" spans="1:11" x14ac:dyDescent="0.25">
      <c r="A161" t="str">
        <f t="shared" si="2"/>
        <v/>
      </c>
      <c r="B161" t="str">
        <f>IF(ROW()-1&lt;=$Z$1,
   INDEX(auditor_2!B$2:B$958,$Z$1-(ROW()-2)),
IF(ROW()-1&lt;=$Z$1+$Z$2,
   INDEX(auditor_1!B$2:B$785,$Z$2-(ROW()-$Z$1-2)),
""))</f>
        <v/>
      </c>
      <c r="C161" t="str">
        <f>IFERROR(VLOOKUP(B161,Data!$B:$Q,16,FALSE),"")</f>
        <v/>
      </c>
      <c r="D161" t="str">
        <f>IFERROR(VLOOKUP(B161,Data!$B:$Q,3,FALSE),"")</f>
        <v/>
      </c>
      <c r="E161" t="str">
        <f>IF(B161="","",
IF(ROW()-1&lt;=$Z$1,
   INDEX(auditor_2!F$2:F$958,$Z$1-(ROW()-2)),
   INDEX(auditor_1!F$2:F$785,$Z$2-(ROW()-$Z$1-2))
))</f>
        <v/>
      </c>
      <c r="F161" t="str">
        <f>IF(B161="","",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1" t="str">
        <f>IF(B161="","",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1" t="str">
        <f>IFERROR(VLOOKUP(B161,Data!$B:$Q,15,FALSE),"")</f>
        <v/>
      </c>
      <c r="I161" t="str">
        <f>IF(B161="","",
IF(ROW()-1&lt;=$Z$1,
   INDEX(auditor_2!A$2:A$958,$Z$1-(ROW()-2)),
   INDEX(auditor_1!A$2:A$785,$Z$2-(ROW()-$Z$1-2))
))</f>
        <v/>
      </c>
      <c r="K161" t="str">
        <f>IF(AND(F161&lt;&gt;0, B161&lt;&gt;""), MAX($K$1:K160)+1, "")</f>
        <v/>
      </c>
    </row>
    <row r="162" spans="1:11" x14ac:dyDescent="0.25">
      <c r="B162" t="str">
        <f>IF(ROW()-1&lt;=$Z$1,
   INDEX(auditor_2!B$2:B$958,$Z$1-(ROW()-2)),
IF(ROW()-1&lt;=$Z$1+$Z$2,
   INDEX(auditor_1!B$2:B$785,$Z$2-(ROW()-$Z$1-2)),
""))</f>
        <v/>
      </c>
      <c r="C162" t="str">
        <f>IFERROR(VLOOKUP(B162,Data!$B:$Q,16,FALSE),"")</f>
        <v/>
      </c>
      <c r="D162" t="str">
        <f>IFERROR(VLOOKUP(B162,Data!$B:$Q,3,FALSE),"")</f>
        <v/>
      </c>
      <c r="E162" t="str">
        <f>IF(B162="","",
IF(ROW()-1&lt;=$Z$1,
   INDEX(auditor_2!F$2:F$958,$Z$1-(ROW()-2)),
   INDEX(auditor_1!F$2:F$785,$Z$2-(ROW()-$Z$1-2))
))</f>
        <v/>
      </c>
      <c r="F162" t="str">
        <f>IF(B162="","",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2" t="str">
        <f>IF(B162="","",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2" t="str">
        <f>IFERROR(VLOOKUP(B162,Data!$B:$Q,15,FALSE),"")</f>
        <v/>
      </c>
      <c r="I162" t="str">
        <f>IF(B162="","",
IF(ROW()-1&lt;=$Z$1,
   INDEX(auditor_2!A$2:A$958,$Z$1-(ROW()-2)),
   INDEX(auditor_1!A$2:A$785,$Z$2-(ROW()-$Z$1-2))
))</f>
        <v/>
      </c>
      <c r="K162" t="str">
        <f>IF(AND(F162&lt;&gt;0, B162&lt;&gt;""), MAX($K$1:K161)+1, "")</f>
        <v/>
      </c>
    </row>
    <row r="163" spans="1:11" x14ac:dyDescent="0.25">
      <c r="B163" t="str">
        <f>IF(ROW()-1&lt;=$Z$1,
   INDEX(auditor_2!B$2:B$958,$Z$1-(ROW()-2)),
IF(ROW()-1&lt;=$Z$1+$Z$2,
   INDEX(auditor_1!B$2:B$785,$Z$2-(ROW()-$Z$1-2)),
""))</f>
        <v/>
      </c>
      <c r="C163" t="str">
        <f>IFERROR(VLOOKUP(B163,Data!$B:$Q,16,FALSE),"")</f>
        <v/>
      </c>
      <c r="D163" t="str">
        <f>IFERROR(VLOOKUP(B163,Data!$B:$Q,3,FALSE),"")</f>
        <v/>
      </c>
      <c r="E163" t="str">
        <f>IF(B163="","",
IF(ROW()-1&lt;=$Z$1,
   INDEX(auditor_2!F$2:F$958,$Z$1-(ROW()-2)),
   INDEX(auditor_1!F$2:F$785,$Z$2-(ROW()-$Z$1-2))
))</f>
        <v/>
      </c>
      <c r="F163" t="str">
        <f>IF(B163="","",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3" t="str">
        <f>IF(B163="","",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3" t="str">
        <f>IFERROR(VLOOKUP(B163,Data!$B:$Q,15,FALSE),"")</f>
        <v/>
      </c>
      <c r="I163" t="str">
        <f>IF(B163="","",
IF(ROW()-1&lt;=$Z$1,
   INDEX(auditor_2!A$2:A$958,$Z$1-(ROW()-2)),
   INDEX(auditor_1!A$2:A$785,$Z$2-(ROW()-$Z$1-2))
))</f>
        <v/>
      </c>
      <c r="K163" t="str">
        <f>IF(AND(F163&lt;&gt;0, B163&lt;&gt;""), MAX($K$1:K162)+1, "")</f>
        <v/>
      </c>
    </row>
    <row r="164" spans="1:11" x14ac:dyDescent="0.25">
      <c r="B164" t="str">
        <f>IF(ROW()-1&lt;=$Z$1,
   INDEX(auditor_2!B$2:B$958,$Z$1-(ROW()-2)),
IF(ROW()-1&lt;=$Z$1+$Z$2,
   INDEX(auditor_1!B$2:B$785,$Z$2-(ROW()-$Z$1-2)),
""))</f>
        <v/>
      </c>
      <c r="C164" t="str">
        <f>IFERROR(VLOOKUP(B164,Data!$B:$Q,16,FALSE),"")</f>
        <v/>
      </c>
      <c r="D164" t="str">
        <f>IFERROR(VLOOKUP(B164,Data!$B:$Q,3,FALSE),"")</f>
        <v/>
      </c>
      <c r="E164" t="str">
        <f>IF(B164="","",
IF(ROW()-1&lt;=$Z$1,
   INDEX(auditor_2!F$2:F$958,$Z$1-(ROW()-2)),
   INDEX(auditor_1!F$2:F$785,$Z$2-(ROW()-$Z$1-2))
))</f>
        <v/>
      </c>
      <c r="F164" t="str">
        <f>IF(B164="","",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4" t="str">
        <f>IF(B164="","",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4" t="str">
        <f>IFERROR(VLOOKUP(B164,Data!$B:$Q,15,FALSE),"")</f>
        <v/>
      </c>
      <c r="I164" t="str">
        <f>IF(B164="","",
IF(ROW()-1&lt;=$Z$1,
   INDEX(auditor_2!A$2:A$958,$Z$1-(ROW()-2)),
   INDEX(auditor_1!A$2:A$785,$Z$2-(ROW()-$Z$1-2))
))</f>
        <v/>
      </c>
      <c r="K164" t="str">
        <f>IF(AND(F164&lt;&gt;0, B164&lt;&gt;""), MAX($K$1:K163)+1, "")</f>
        <v/>
      </c>
    </row>
    <row r="165" spans="1:11" x14ac:dyDescent="0.25">
      <c r="B165" t="str">
        <f>IF(ROW()-1&lt;=$Z$1,
   INDEX(auditor_2!B$2:B$958,$Z$1-(ROW()-2)),
IF(ROW()-1&lt;=$Z$1+$Z$2,
   INDEX(auditor_1!B$2:B$785,$Z$2-(ROW()-$Z$1-2)),
""))</f>
        <v/>
      </c>
      <c r="C165" t="str">
        <f>IFERROR(VLOOKUP(B165,Data!$B:$Q,16,FALSE),"")</f>
        <v/>
      </c>
      <c r="D165" t="str">
        <f>IFERROR(VLOOKUP(B165,Data!$B:$Q,3,FALSE),"")</f>
        <v/>
      </c>
      <c r="E165" t="str">
        <f>IF(B165="","",
IF(ROW()-1&lt;=$Z$1,
   INDEX(auditor_2!F$2:F$958,$Z$1-(ROW()-2)),
   INDEX(auditor_1!F$2:F$785,$Z$2-(ROW()-$Z$1-2))
))</f>
        <v/>
      </c>
      <c r="F165" t="str">
        <f>IF(B165="","",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5" t="str">
        <f>IF(B165="","",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5" t="str">
        <f>IFERROR(VLOOKUP(B165,Data!$B:$Q,15,FALSE),"")</f>
        <v/>
      </c>
      <c r="I165" t="str">
        <f>IF(B165="","",
IF(ROW()-1&lt;=$Z$1,
   INDEX(auditor_2!A$2:A$958,$Z$1-(ROW()-2)),
   INDEX(auditor_1!A$2:A$785,$Z$2-(ROW()-$Z$1-2))
))</f>
        <v/>
      </c>
      <c r="K165" t="str">
        <f>IF(AND(F165&lt;&gt;0, B165&lt;&gt;""), MAX($K$1:K164)+1, "")</f>
        <v/>
      </c>
    </row>
    <row r="166" spans="1:11" x14ac:dyDescent="0.25">
      <c r="K166" t="str">
        <f>IF(AND(F166&lt;&gt;0, B166&lt;&gt;""), MAX($K$1:K165)+1, "")</f>
        <v/>
      </c>
    </row>
    <row r="167" spans="1:11" x14ac:dyDescent="0.25">
      <c r="K167" t="str">
        <f>IF(AND(F167&lt;&gt;0, B167&lt;&gt;""), MAX($K$1:K166)+1, "")</f>
        <v/>
      </c>
    </row>
    <row r="168" spans="1:11" x14ac:dyDescent="0.25">
      <c r="K168" t="str">
        <f>IF(AND(F168&lt;&gt;0, B168&lt;&gt;""), MAX($K$1:K167)+1, "")</f>
        <v/>
      </c>
    </row>
    <row r="169" spans="1:11" x14ac:dyDescent="0.25">
      <c r="K169" t="str">
        <f>IF(AND(F169&lt;&gt;0, B169&lt;&gt;""), MAX($K$1:K168)+1, "")</f>
        <v/>
      </c>
    </row>
    <row r="170" spans="1:11" x14ac:dyDescent="0.25">
      <c r="K170" t="str">
        <f>IF(AND(F170&lt;&gt;0, B170&lt;&gt;""), MAX($K$1:K169)+1, "")</f>
        <v/>
      </c>
    </row>
    <row r="171" spans="1:11" x14ac:dyDescent="0.25">
      <c r="K171" t="str">
        <f>IF(AND(F171&lt;&gt;0, B171&lt;&gt;""), MAX($K$1:K170)+1, "")</f>
        <v/>
      </c>
    </row>
    <row r="172" spans="1:11" x14ac:dyDescent="0.25">
      <c r="K172" t="str">
        <f>IF(AND(F172&lt;&gt;0, B172&lt;&gt;""), MAX($K$1:K171)+1, "")</f>
        <v/>
      </c>
    </row>
    <row r="173" spans="1:11" x14ac:dyDescent="0.25">
      <c r="K173" t="str">
        <f>IF(AND(F173&lt;&gt;0, B173&lt;&gt;""), MAX($K$1:K172)+1, "")</f>
        <v/>
      </c>
    </row>
    <row r="174" spans="1:11" x14ac:dyDescent="0.25">
      <c r="K174" t="str">
        <f>IF(AND(F174&lt;&gt;0, B174&lt;&gt;""), MAX($K$1:K173)+1, "")</f>
        <v/>
      </c>
    </row>
    <row r="175" spans="1:11" x14ac:dyDescent="0.25">
      <c r="K175" t="str">
        <f>IF(AND(F175&lt;&gt;0, B175&lt;&gt;""), MAX($K$1:K174)+1, "")</f>
        <v/>
      </c>
    </row>
    <row r="176" spans="1:11" x14ac:dyDescent="0.25">
      <c r="K176" t="str">
        <f>IF(AND(F176&lt;&gt;0, B176&lt;&gt;""), MAX($K$1:K175)+1, "")</f>
        <v/>
      </c>
    </row>
    <row r="177" spans="11:11" x14ac:dyDescent="0.25">
      <c r="K177" t="str">
        <f>IF(AND(F177&lt;&gt;0, B177&lt;&gt;""), MAX($K$1:K176)+1, "")</f>
        <v/>
      </c>
    </row>
    <row r="178" spans="11:11" x14ac:dyDescent="0.25">
      <c r="K178" t="str">
        <f>IF(AND(F178&lt;&gt;0, B178&lt;&gt;""), MAX($K$1:K177)+1, "")</f>
        <v/>
      </c>
    </row>
    <row r="179" spans="11:11" x14ac:dyDescent="0.25">
      <c r="K179" t="str">
        <f>IF(AND(F179&lt;&gt;0, B179&lt;&gt;""), MAX($K$1:K178)+1, "")</f>
        <v/>
      </c>
    </row>
    <row r="180" spans="11:11" x14ac:dyDescent="0.25">
      <c r="K180" t="str">
        <f>IF(AND(F180&lt;&gt;0, B180&lt;&gt;""), MAX($K$1:K179)+1, "")</f>
        <v/>
      </c>
    </row>
    <row r="181" spans="11:11" x14ac:dyDescent="0.25">
      <c r="K181" t="str">
        <f>IF(AND(F181&lt;&gt;0, B181&lt;&gt;""), MAX($K$1:K180)+1, "")</f>
        <v/>
      </c>
    </row>
    <row r="182" spans="11:11" x14ac:dyDescent="0.25">
      <c r="K182" t="str">
        <f>IF(AND(F182&lt;&gt;0, B182&lt;&gt;""), MAX($K$1:K181)+1, "")</f>
        <v/>
      </c>
    </row>
    <row r="183" spans="11:11" x14ac:dyDescent="0.25">
      <c r="K183" t="str">
        <f>IF(AND(F183&lt;&gt;0, B183&lt;&gt;""), MAX($K$1:K182)+1, "")</f>
        <v/>
      </c>
    </row>
    <row r="184" spans="11:11" x14ac:dyDescent="0.25">
      <c r="K184" t="str">
        <f>IF(AND(F184&lt;&gt;0, B184&lt;&gt;""), MAX($K$1:K183)+1, "")</f>
        <v/>
      </c>
    </row>
    <row r="185" spans="11:11" x14ac:dyDescent="0.25">
      <c r="K185" t="str">
        <f>IF(AND(F185&lt;&gt;0, B185&lt;&gt;""), MAX($K$1:K184)+1, "")</f>
        <v/>
      </c>
    </row>
    <row r="186" spans="11:11" x14ac:dyDescent="0.25">
      <c r="K186" t="str">
        <f>IF(AND(F186&lt;&gt;0, B186&lt;&gt;""), MAX($K$1:K185)+1, "")</f>
        <v/>
      </c>
    </row>
    <row r="187" spans="11:11" x14ac:dyDescent="0.25">
      <c r="K187" t="str">
        <f>IF(AND(F187&lt;&gt;0, B187&lt;&gt;""), MAX($K$1:K186)+1, "")</f>
        <v/>
      </c>
    </row>
    <row r="188" spans="11:11" x14ac:dyDescent="0.25">
      <c r="K188" t="str">
        <f>IF(AND(F188&lt;&gt;0, B188&lt;&gt;""), MAX($K$1:K187)+1, "")</f>
        <v/>
      </c>
    </row>
    <row r="189" spans="11:11" x14ac:dyDescent="0.25">
      <c r="K189" t="str">
        <f>IF(AND(F189&lt;&gt;0, B189&lt;&gt;""), MAX($K$1:K188)+1, "")</f>
        <v/>
      </c>
    </row>
    <row r="190" spans="11:11" x14ac:dyDescent="0.25">
      <c r="K190" t="str">
        <f>IF(AND(F190&lt;&gt;0, B190&lt;&gt;""), MAX($K$1:K189)+1, "")</f>
        <v/>
      </c>
    </row>
    <row r="191" spans="11:11" x14ac:dyDescent="0.25">
      <c r="K191" t="str">
        <f>IF(AND(F191&lt;&gt;0, B191&lt;&gt;""), MAX($K$1:K190)+1, "")</f>
        <v/>
      </c>
    </row>
    <row r="192" spans="11:11" x14ac:dyDescent="0.25">
      <c r="K192" t="str">
        <f>IF(AND(F192&lt;&gt;0, B192&lt;&gt;""), MAX($K$1:K191)+1, "")</f>
        <v/>
      </c>
    </row>
    <row r="193" spans="11:11" x14ac:dyDescent="0.25">
      <c r="K193" t="str">
        <f>IF(AND(F193&lt;&gt;0, B193&lt;&gt;""), MAX($K$1:K192)+1, "")</f>
        <v/>
      </c>
    </row>
    <row r="194" spans="11:11" x14ac:dyDescent="0.25">
      <c r="K194" t="str">
        <f>IF(AND(F194&lt;&gt;0, B194&lt;&gt;""), MAX($K$1:K193)+1, "")</f>
        <v/>
      </c>
    </row>
    <row r="195" spans="11:11" x14ac:dyDescent="0.25">
      <c r="K195" t="str">
        <f>IF(AND(F195&lt;&gt;0, B195&lt;&gt;""), MAX($K$1:K194)+1, "")</f>
        <v/>
      </c>
    </row>
    <row r="196" spans="11:11" x14ac:dyDescent="0.25">
      <c r="K196" t="str">
        <f>IF(AND(F196&lt;&gt;0, B196&lt;&gt;""), MAX($K$1:K195)+1, "")</f>
        <v/>
      </c>
    </row>
    <row r="197" spans="11:11" x14ac:dyDescent="0.25">
      <c r="K197" t="str">
        <f>IF(AND(F197&lt;&gt;0, B197&lt;&gt;""), MAX($K$1:K196)+1, "")</f>
        <v/>
      </c>
    </row>
    <row r="198" spans="11:11" x14ac:dyDescent="0.25">
      <c r="K198" t="str">
        <f>IF(AND(F198&lt;&gt;0, B198&lt;&gt;""), MAX($K$1:K197)+1, "")</f>
        <v/>
      </c>
    </row>
    <row r="199" spans="11:11" x14ac:dyDescent="0.25">
      <c r="K199" t="str">
        <f>IF(AND(F199&lt;&gt;0, B199&lt;&gt;""), MAX($K$1:K198)+1, "")</f>
        <v/>
      </c>
    </row>
    <row r="200" spans="11:11" x14ac:dyDescent="0.25">
      <c r="K200" t="str">
        <f>IF(AND(F200&lt;&gt;0, B200&lt;&gt;""), MAX($K$1:K199)+1, "")</f>
        <v/>
      </c>
    </row>
    <row r="201" spans="11:11" x14ac:dyDescent="0.25">
      <c r="K201" t="str">
        <f>IF(AND(F201&lt;&gt;0, B201&lt;&gt;""), MAX($K$1:K200)+1, "")</f>
        <v/>
      </c>
    </row>
    <row r="202" spans="11:11" x14ac:dyDescent="0.25">
      <c r="K202" t="str">
        <f>IF(AND(F202&lt;&gt;0, B202&lt;&gt;""), MAX($K$1:K201)+1, "")</f>
        <v/>
      </c>
    </row>
    <row r="203" spans="11:11" x14ac:dyDescent="0.25">
      <c r="K203" t="str">
        <f>IF(AND(F203&lt;&gt;0, B203&lt;&gt;""), MAX($K$1:K202)+1, "")</f>
        <v/>
      </c>
    </row>
    <row r="204" spans="11:11" x14ac:dyDescent="0.25">
      <c r="K204" t="str">
        <f>IF(AND(F204&lt;&gt;0, B204&lt;&gt;""), MAX($K$1:K203)+1, "")</f>
        <v/>
      </c>
    </row>
    <row r="205" spans="11:11" x14ac:dyDescent="0.25">
      <c r="K205" t="str">
        <f>IF(AND(F205&lt;&gt;0, B205&lt;&gt;""), MAX($K$1:K204)+1, "")</f>
        <v/>
      </c>
    </row>
    <row r="206" spans="11:11" x14ac:dyDescent="0.25">
      <c r="K206" t="str">
        <f>IF(AND(F206&lt;&gt;0, B206&lt;&gt;""), MAX($K$1:K205)+1, "")</f>
        <v/>
      </c>
    </row>
    <row r="207" spans="11:11" x14ac:dyDescent="0.25">
      <c r="K207" t="str">
        <f>IF(AND(F207&lt;&gt;0, B207&lt;&gt;""), MAX($K$1:K206)+1, "")</f>
        <v/>
      </c>
    </row>
    <row r="208" spans="11:11" x14ac:dyDescent="0.25">
      <c r="K208" t="str">
        <f>IF(AND(F208&lt;&gt;0, B208&lt;&gt;""), MAX($K$1:K207)+1, "")</f>
        <v/>
      </c>
    </row>
    <row r="209" spans="11:11" x14ac:dyDescent="0.25">
      <c r="K209" t="str">
        <f>IF(AND(F209&lt;&gt;0, B209&lt;&gt;""), MAX($K$1:K208)+1, "")</f>
        <v/>
      </c>
    </row>
    <row r="210" spans="11:11" x14ac:dyDescent="0.25">
      <c r="K210" t="str">
        <f>IF(AND(F210&lt;&gt;0, B210&lt;&gt;""), MAX($K$1:K209)+1, "")</f>
        <v/>
      </c>
    </row>
    <row r="211" spans="11:11" x14ac:dyDescent="0.25">
      <c r="K211" t="str">
        <f>IF(AND(F211&lt;&gt;0, B211&lt;&gt;""), MAX($K$1:K210)+1, "")</f>
        <v/>
      </c>
    </row>
    <row r="212" spans="11:11" x14ac:dyDescent="0.25">
      <c r="K212" t="str">
        <f>IF(AND(F212&lt;&gt;0, B212&lt;&gt;""), MAX($K$1:K211)+1, "")</f>
        <v/>
      </c>
    </row>
    <row r="213" spans="11:11" x14ac:dyDescent="0.25">
      <c r="K213" t="str">
        <f>IF(AND(F213&lt;&gt;0, B213&lt;&gt;""), MAX($K$1:K212)+1, "")</f>
        <v/>
      </c>
    </row>
    <row r="214" spans="11:11" x14ac:dyDescent="0.25">
      <c r="K214" t="str">
        <f>IF(AND(F214&lt;&gt;0, B214&lt;&gt;""), MAX($K$1:K213)+1, "")</f>
        <v/>
      </c>
    </row>
    <row r="215" spans="11:11" x14ac:dyDescent="0.25">
      <c r="K215" t="str">
        <f>IF(AND(F215&lt;&gt;0, B215&lt;&gt;""), MAX($K$1:K214)+1, "")</f>
        <v/>
      </c>
    </row>
    <row r="216" spans="11:11" x14ac:dyDescent="0.25">
      <c r="K216" t="str">
        <f>IF(AND(F216&lt;&gt;0, B216&lt;&gt;""), MAX($K$1:K215)+1, "")</f>
        <v/>
      </c>
    </row>
    <row r="217" spans="11:11" x14ac:dyDescent="0.25">
      <c r="K217" t="str">
        <f>IF(AND(F217&lt;&gt;0, B217&lt;&gt;""), MAX($K$1:K216)+1, "")</f>
        <v/>
      </c>
    </row>
    <row r="218" spans="11:11" x14ac:dyDescent="0.25">
      <c r="K218" t="str">
        <f>IF(AND(F218&lt;&gt;0, B218&lt;&gt;""), MAX($K$1:K217)+1, "")</f>
        <v/>
      </c>
    </row>
    <row r="219" spans="11:11" x14ac:dyDescent="0.25">
      <c r="K219" t="str">
        <f>IF(AND(F219&lt;&gt;0, B219&lt;&gt;""), MAX($K$1:K218)+1, "")</f>
        <v/>
      </c>
    </row>
    <row r="220" spans="11:11" x14ac:dyDescent="0.25">
      <c r="K220" t="str">
        <f>IF(AND(F220&lt;&gt;0, B220&lt;&gt;""), MAX($K$1:K219)+1, "")</f>
        <v/>
      </c>
    </row>
    <row r="221" spans="11:11" x14ac:dyDescent="0.25">
      <c r="K221" t="str">
        <f>IF(AND(F221&lt;&gt;0, B221&lt;&gt;""), MAX($K$1:K220)+1, "")</f>
        <v/>
      </c>
    </row>
    <row r="222" spans="11:11" x14ac:dyDescent="0.25">
      <c r="K222" t="str">
        <f>IF(AND(F222&lt;&gt;0, B222&lt;&gt;""), MAX($K$1:K221)+1, "")</f>
        <v/>
      </c>
    </row>
    <row r="223" spans="11:11" x14ac:dyDescent="0.25">
      <c r="K223" t="str">
        <f>IF(AND(F223&lt;&gt;0, B223&lt;&gt;""), MAX($K$1:K222)+1, "")</f>
        <v/>
      </c>
    </row>
    <row r="224" spans="11:11" x14ac:dyDescent="0.25">
      <c r="K224" t="str">
        <f>IF(AND(F224&lt;&gt;0, B224&lt;&gt;""), MAX($K$1:K223)+1, "")</f>
        <v/>
      </c>
    </row>
    <row r="225" spans="11:11" x14ac:dyDescent="0.25">
      <c r="K225" t="str">
        <f>IF(AND(F225&lt;&gt;0, B225&lt;&gt;""), MAX($K$1:K224)+1, "")</f>
        <v/>
      </c>
    </row>
    <row r="226" spans="11:11" x14ac:dyDescent="0.25">
      <c r="K226" t="str">
        <f>IF(AND(F226&lt;&gt;0, B226&lt;&gt;""), MAX($K$1:K225)+1, "")</f>
        <v/>
      </c>
    </row>
    <row r="227" spans="11:11" x14ac:dyDescent="0.25">
      <c r="K227" t="str">
        <f>IF(AND(F227&lt;&gt;0, B227&lt;&gt;""), MAX($K$1:K226)+1, "")</f>
        <v/>
      </c>
    </row>
    <row r="228" spans="11:11" x14ac:dyDescent="0.25">
      <c r="K228" t="str">
        <f>IF(AND(F228&lt;&gt;0, B228&lt;&gt;""), MAX($K$1:K227)+1, "")</f>
        <v/>
      </c>
    </row>
    <row r="229" spans="11:11" x14ac:dyDescent="0.25">
      <c r="K229" t="str">
        <f>IF(AND(F229&lt;&gt;0, B229&lt;&gt;""), MAX($K$1:K228)+1, "")</f>
        <v/>
      </c>
    </row>
    <row r="230" spans="11:11" x14ac:dyDescent="0.25">
      <c r="K230" t="str">
        <f>IF(AND(F230&lt;&gt;0, B230&lt;&gt;""), MAX($K$1:K229)+1, "")</f>
        <v/>
      </c>
    </row>
    <row r="231" spans="11:11" x14ac:dyDescent="0.25">
      <c r="K231" t="str">
        <f>IF(AND(F231&lt;&gt;0, B231&lt;&gt;""), MAX($K$1:K230)+1, "")</f>
        <v/>
      </c>
    </row>
    <row r="232" spans="11:11" x14ac:dyDescent="0.25">
      <c r="K232" t="str">
        <f>IF(AND(F232&lt;&gt;0, B232&lt;&gt;""), MAX($K$1:K231)+1, "")</f>
        <v/>
      </c>
    </row>
    <row r="233" spans="11:11" x14ac:dyDescent="0.25">
      <c r="K233" t="str">
        <f>IF(AND(F233&lt;&gt;0, B233&lt;&gt;""), MAX($K$1:K232)+1, "")</f>
        <v/>
      </c>
    </row>
    <row r="234" spans="11:11" x14ac:dyDescent="0.25">
      <c r="K234" t="str">
        <f>IF(AND(F234&lt;&gt;0, B234&lt;&gt;""), MAX($K$1:K233)+1, "")</f>
        <v/>
      </c>
    </row>
    <row r="235" spans="11:11" x14ac:dyDescent="0.25">
      <c r="K235" t="str">
        <f>IF(AND(F235&lt;&gt;0, B235&lt;&gt;""), MAX($K$1:K234)+1, "")</f>
        <v/>
      </c>
    </row>
    <row r="236" spans="11:11" x14ac:dyDescent="0.25">
      <c r="K236" t="str">
        <f>IF(AND(F236&lt;&gt;0, B236&lt;&gt;""), MAX($K$1:K235)+1, "")</f>
        <v/>
      </c>
    </row>
    <row r="237" spans="11:11" x14ac:dyDescent="0.25">
      <c r="K237" t="str">
        <f>IF(AND(F237&lt;&gt;0, B237&lt;&gt;""), MAX($K$1:K236)+1, "")</f>
        <v/>
      </c>
    </row>
    <row r="238" spans="11:11" x14ac:dyDescent="0.25">
      <c r="K238" t="str">
        <f>IF(AND(F238&lt;&gt;0, B238&lt;&gt;""), MAX($K$1:K237)+1, "")</f>
        <v/>
      </c>
    </row>
    <row r="239" spans="11:11" x14ac:dyDescent="0.25">
      <c r="K239" t="str">
        <f>IF(AND(F239&lt;&gt;0, B239&lt;&gt;""), MAX($K$1:K238)+1, "")</f>
        <v/>
      </c>
    </row>
    <row r="240" spans="11:11" x14ac:dyDescent="0.25">
      <c r="K240" t="str">
        <f>IF(AND(F240&lt;&gt;0, B240&lt;&gt;""), MAX($K$1:K239)+1, "")</f>
        <v/>
      </c>
    </row>
    <row r="241" spans="11:11" x14ac:dyDescent="0.25">
      <c r="K241" t="str">
        <f>IF(AND(F241&lt;&gt;0, B241&lt;&gt;""), MAX($K$1:K240)+1, "")</f>
        <v/>
      </c>
    </row>
    <row r="242" spans="11:11" x14ac:dyDescent="0.25">
      <c r="K242" t="str">
        <f>IF(AND(F242&lt;&gt;0, B242&lt;&gt;""), MAX($K$1:K241)+1, "")</f>
        <v/>
      </c>
    </row>
    <row r="243" spans="11:11" x14ac:dyDescent="0.25">
      <c r="K243" t="str">
        <f>IF(AND(F243&lt;&gt;0, B243&lt;&gt;""), MAX($K$1:K242)+1, "")</f>
        <v/>
      </c>
    </row>
    <row r="244" spans="11:11" x14ac:dyDescent="0.25">
      <c r="K244" t="str">
        <f>IF(AND(F244&lt;&gt;0, B244&lt;&gt;""), MAX($K$1:K243)+1, "")</f>
        <v/>
      </c>
    </row>
    <row r="245" spans="11:11" x14ac:dyDescent="0.25">
      <c r="K245" t="str">
        <f>IF(AND(F245&lt;&gt;0, B245&lt;&gt;""), MAX($K$1:K244)+1, "")</f>
        <v/>
      </c>
    </row>
    <row r="246" spans="11:11" x14ac:dyDescent="0.25">
      <c r="K246" t="str">
        <f>IF(AND(F246&lt;&gt;0, B246&lt;&gt;""), MAX($K$1:K245)+1, "")</f>
        <v/>
      </c>
    </row>
    <row r="247" spans="11:11" x14ac:dyDescent="0.25">
      <c r="K247" t="str">
        <f>IF(AND(F247&lt;&gt;0, B247&lt;&gt;""), MAX($K$1:K246)+1, "")</f>
        <v/>
      </c>
    </row>
    <row r="248" spans="11:11" x14ac:dyDescent="0.25">
      <c r="K248" t="str">
        <f>IF(AND(F248&lt;&gt;0, B248&lt;&gt;""), MAX($K$1:K247)+1, "")</f>
        <v/>
      </c>
    </row>
    <row r="249" spans="11:11" x14ac:dyDescent="0.25">
      <c r="K249" t="str">
        <f>IF(AND(F249&lt;&gt;0, B249&lt;&gt;""), MAX($K$1:K248)+1, "")</f>
        <v/>
      </c>
    </row>
    <row r="250" spans="11:11" x14ac:dyDescent="0.25">
      <c r="K250" t="str">
        <f>IF(AND(F250&lt;&gt;0, B250&lt;&gt;""), MAX($K$1:K249)+1, "")</f>
        <v/>
      </c>
    </row>
    <row r="251" spans="11:11" x14ac:dyDescent="0.25">
      <c r="K251" t="str">
        <f>IF(AND(F251&lt;&gt;0, B251&lt;&gt;""), MAX($K$1:K250)+1, "")</f>
        <v/>
      </c>
    </row>
    <row r="252" spans="11:11" x14ac:dyDescent="0.25">
      <c r="K252" t="str">
        <f>IF(AND(F252&lt;&gt;0, B252&lt;&gt;""), MAX($K$1:K251)+1, "")</f>
        <v/>
      </c>
    </row>
    <row r="253" spans="11:11" x14ac:dyDescent="0.25">
      <c r="K253" t="str">
        <f>IF(AND(F253&lt;&gt;0, B253&lt;&gt;""), MAX($K$1:K252)+1, "")</f>
        <v/>
      </c>
    </row>
    <row r="254" spans="11:11" x14ac:dyDescent="0.25">
      <c r="K254" t="str">
        <f>IF(AND(F254&lt;&gt;0, B254&lt;&gt;""), MAX($K$1:K253)+1, "")</f>
        <v/>
      </c>
    </row>
    <row r="255" spans="11:11" x14ac:dyDescent="0.25">
      <c r="K255" t="str">
        <f>IF(AND(F255&lt;&gt;0, B255&lt;&gt;""), MAX($K$1:K254)+1, "")</f>
        <v/>
      </c>
    </row>
    <row r="256" spans="11:11" x14ac:dyDescent="0.25">
      <c r="K256" t="str">
        <f>IF(AND(F256&lt;&gt;0, B256&lt;&gt;""), MAX($K$1:K255)+1, "")</f>
        <v/>
      </c>
    </row>
    <row r="257" spans="11:11" x14ac:dyDescent="0.25">
      <c r="K257" t="str">
        <f>IF(AND(F257&lt;&gt;0, B257&lt;&gt;""), MAX($K$1:K256)+1, "")</f>
        <v/>
      </c>
    </row>
    <row r="258" spans="11:11" x14ac:dyDescent="0.25">
      <c r="K258" t="str">
        <f>IF(AND(F258&lt;&gt;0, B258&lt;&gt;""), MAX($K$1:K257)+1, "")</f>
        <v/>
      </c>
    </row>
    <row r="259" spans="11:11" x14ac:dyDescent="0.25">
      <c r="K259" t="str">
        <f>IF(AND(F259&lt;&gt;0, B259&lt;&gt;""), MAX($K$1:K258)+1, "")</f>
        <v/>
      </c>
    </row>
    <row r="260" spans="11:11" x14ac:dyDescent="0.25">
      <c r="K260" t="str">
        <f>IF(AND(F260&lt;&gt;0, B260&lt;&gt;""), MAX($K$1:K259)+1, "")</f>
        <v/>
      </c>
    </row>
    <row r="261" spans="11:11" x14ac:dyDescent="0.25">
      <c r="K261" t="str">
        <f>IF(AND(F261&lt;&gt;0, B261&lt;&gt;""), MAX($K$1:K260)+1, "")</f>
        <v/>
      </c>
    </row>
    <row r="262" spans="11:11" x14ac:dyDescent="0.25">
      <c r="K262" t="str">
        <f>IF(AND(F262&lt;&gt;0, B262&lt;&gt;""), MAX($K$1:K261)+1, "")</f>
        <v/>
      </c>
    </row>
    <row r="263" spans="11:11" x14ac:dyDescent="0.25">
      <c r="K263" t="str">
        <f>IF(AND(F263&lt;&gt;0, B263&lt;&gt;""), MAX($K$1:K262)+1, "")</f>
        <v/>
      </c>
    </row>
    <row r="264" spans="11:11" x14ac:dyDescent="0.25">
      <c r="K264" t="str">
        <f>IF(AND(F264&lt;&gt;0, B264&lt;&gt;""), MAX($K$1:K263)+1, "")</f>
        <v/>
      </c>
    </row>
    <row r="265" spans="11:11" x14ac:dyDescent="0.25">
      <c r="K265" t="str">
        <f>IF(AND(F265&lt;&gt;0, B265&lt;&gt;""), MAX($K$1:K264)+1, "")</f>
        <v/>
      </c>
    </row>
    <row r="266" spans="11:11" x14ac:dyDescent="0.25">
      <c r="K266" t="str">
        <f>IF(AND(F266&lt;&gt;0, B266&lt;&gt;""), MAX($K$1:K265)+1, "")</f>
        <v/>
      </c>
    </row>
    <row r="267" spans="11:11" x14ac:dyDescent="0.25">
      <c r="K267" t="str">
        <f>IF(AND(F267&lt;&gt;0, B267&lt;&gt;""), MAX($K$1:K266)+1, "")</f>
        <v/>
      </c>
    </row>
    <row r="268" spans="11:11" x14ac:dyDescent="0.25">
      <c r="K268" t="str">
        <f>IF(AND(F268&lt;&gt;0, B268&lt;&gt;""), MAX($K$1:K267)+1, "")</f>
        <v/>
      </c>
    </row>
    <row r="269" spans="11:11" x14ac:dyDescent="0.25">
      <c r="K269" t="str">
        <f>IF(AND(F269&lt;&gt;0, B269&lt;&gt;""), MAX($K$1:K268)+1, "")</f>
        <v/>
      </c>
    </row>
    <row r="270" spans="11:11" x14ac:dyDescent="0.25">
      <c r="K270" t="str">
        <f>IF(AND(F270&lt;&gt;0, B270&lt;&gt;""), MAX($K$1:K269)+1, "")</f>
        <v/>
      </c>
    </row>
    <row r="271" spans="11:11" x14ac:dyDescent="0.25">
      <c r="K271" t="str">
        <f>IF(AND(F271&lt;&gt;0, B271&lt;&gt;""), MAX($K$1:K270)+1, "")</f>
        <v/>
      </c>
    </row>
    <row r="272" spans="11:11" x14ac:dyDescent="0.25">
      <c r="K272" t="str">
        <f>IF(AND(F272&lt;&gt;0, B272&lt;&gt;""), MAX($K$1:K271)+1, "")</f>
        <v/>
      </c>
    </row>
    <row r="273" spans="11:11" x14ac:dyDescent="0.25">
      <c r="K273" t="str">
        <f>IF(AND(F273&lt;&gt;0, B273&lt;&gt;""), MAX($K$1:K272)+1, "")</f>
        <v/>
      </c>
    </row>
    <row r="274" spans="11:11" x14ac:dyDescent="0.25">
      <c r="K274" t="str">
        <f>IF(AND(F274&lt;&gt;0, B274&lt;&gt;""), MAX($K$1:K273)+1, "")</f>
        <v/>
      </c>
    </row>
    <row r="275" spans="11:11" x14ac:dyDescent="0.25">
      <c r="K275" t="str">
        <f>IF(AND(F275&lt;&gt;0, B275&lt;&gt;""), MAX($K$1:K274)+1, "")</f>
        <v/>
      </c>
    </row>
    <row r="276" spans="11:11" x14ac:dyDescent="0.25">
      <c r="K276" t="str">
        <f>IF(AND(F276&lt;&gt;0, B276&lt;&gt;""), MAX($K$1:K275)+1, "")</f>
        <v/>
      </c>
    </row>
    <row r="277" spans="11:11" x14ac:dyDescent="0.25">
      <c r="K277" t="str">
        <f>IF(AND(F277&lt;&gt;0, B277&lt;&gt;""), MAX($K$1:K276)+1, "")</f>
        <v/>
      </c>
    </row>
    <row r="278" spans="11:11" x14ac:dyDescent="0.25">
      <c r="K278" t="str">
        <f>IF(AND(F278&lt;&gt;0, B278&lt;&gt;""), MAX($K$1:K277)+1, "")</f>
        <v/>
      </c>
    </row>
    <row r="279" spans="11:11" x14ac:dyDescent="0.25">
      <c r="K279" t="str">
        <f>IF(AND(F279&lt;&gt;0, B279&lt;&gt;""), MAX($K$1:K278)+1, "")</f>
        <v/>
      </c>
    </row>
    <row r="280" spans="11:11" x14ac:dyDescent="0.25">
      <c r="K280" t="str">
        <f>IF(AND(F280&lt;&gt;0, B280&lt;&gt;""), MAX($K$1:K279)+1, "")</f>
        <v/>
      </c>
    </row>
    <row r="281" spans="11:11" x14ac:dyDescent="0.25">
      <c r="K281" t="str">
        <f>IF(AND(F281&lt;&gt;0, B281&lt;&gt;""), MAX($K$1:K280)+1, "")</f>
        <v/>
      </c>
    </row>
    <row r="282" spans="11:11" x14ac:dyDescent="0.25">
      <c r="K282" t="str">
        <f>IF(AND(F282&lt;&gt;0, B282&lt;&gt;""), MAX($K$1:K281)+1, "")</f>
        <v/>
      </c>
    </row>
    <row r="283" spans="11:11" x14ac:dyDescent="0.25">
      <c r="K283" t="str">
        <f>IF(AND(F283&lt;&gt;0, B283&lt;&gt;""), MAX($K$1:K282)+1, "")</f>
        <v/>
      </c>
    </row>
    <row r="284" spans="11:11" x14ac:dyDescent="0.25">
      <c r="K284" t="str">
        <f>IF(AND(F284&lt;&gt;0, B284&lt;&gt;""), MAX($K$1:K283)+1, "")</f>
        <v/>
      </c>
    </row>
    <row r="285" spans="11:11" x14ac:dyDescent="0.25">
      <c r="K285" t="str">
        <f>IF(AND(F285&lt;&gt;0, B285&lt;&gt;""), MAX($K$1:K284)+1, "")</f>
        <v/>
      </c>
    </row>
    <row r="286" spans="11:11" x14ac:dyDescent="0.25">
      <c r="K286" t="str">
        <f>IF(AND(F286&lt;&gt;0, B286&lt;&gt;""), MAX($K$1:K285)+1, "")</f>
        <v/>
      </c>
    </row>
    <row r="287" spans="11:11" x14ac:dyDescent="0.25">
      <c r="K287" t="str">
        <f>IF(AND(F287&lt;&gt;0, B287&lt;&gt;""), MAX($K$1:K286)+1, "")</f>
        <v/>
      </c>
    </row>
    <row r="288" spans="11:11" x14ac:dyDescent="0.25">
      <c r="K288" t="str">
        <f>IF(AND(F288&lt;&gt;0, B288&lt;&gt;""), MAX($K$1:K287)+1, "")</f>
        <v/>
      </c>
    </row>
    <row r="289" spans="11:11" x14ac:dyDescent="0.25">
      <c r="K289" t="str">
        <f>IF(AND(F289&lt;&gt;0, B289&lt;&gt;""), MAX($K$1:K288)+1, "")</f>
        <v/>
      </c>
    </row>
    <row r="290" spans="11:11" x14ac:dyDescent="0.25">
      <c r="K290" t="str">
        <f>IF(AND(F290&lt;&gt;0, B290&lt;&gt;""), MAX($K$1:K289)+1, "")</f>
        <v/>
      </c>
    </row>
    <row r="291" spans="11:11" x14ac:dyDescent="0.25">
      <c r="K291" t="str">
        <f>IF(AND(F291&lt;&gt;0, B291&lt;&gt;""), MAX($K$1:K290)+1, "")</f>
        <v/>
      </c>
    </row>
    <row r="292" spans="11:11" x14ac:dyDescent="0.25">
      <c r="K292" t="str">
        <f>IF(AND(F292&lt;&gt;0, B292&lt;&gt;""), MAX($K$1:K291)+1, "")</f>
        <v/>
      </c>
    </row>
    <row r="293" spans="11:11" x14ac:dyDescent="0.25">
      <c r="K293" t="str">
        <f>IF(AND(F293&lt;&gt;0, B293&lt;&gt;""), MAX($K$1:K292)+1, "")</f>
        <v/>
      </c>
    </row>
    <row r="294" spans="11:11" x14ac:dyDescent="0.25">
      <c r="K294" t="str">
        <f>IF(AND(F294&lt;&gt;0, B294&lt;&gt;""), MAX($K$1:K293)+1, "")</f>
        <v/>
      </c>
    </row>
    <row r="295" spans="11:11" x14ac:dyDescent="0.25">
      <c r="K295" t="str">
        <f>IF(AND(F295&lt;&gt;0, B295&lt;&gt;""), MAX($K$1:K294)+1, "")</f>
        <v/>
      </c>
    </row>
    <row r="296" spans="11:11" x14ac:dyDescent="0.25">
      <c r="K296" t="str">
        <f>IF(AND(F296&lt;&gt;0, B296&lt;&gt;""), MAX($K$1:K295)+1, "")</f>
        <v/>
      </c>
    </row>
    <row r="297" spans="11:11" x14ac:dyDescent="0.25">
      <c r="K297" t="str">
        <f>IF(AND(F297&lt;&gt;0, B297&lt;&gt;""), MAX($K$1:K296)+1, "")</f>
        <v/>
      </c>
    </row>
    <row r="298" spans="11:11" x14ac:dyDescent="0.25">
      <c r="K298" t="str">
        <f>IF(AND(F298&lt;&gt;0, B298&lt;&gt;""), MAX($K$1:K297)+1, "")</f>
        <v/>
      </c>
    </row>
    <row r="299" spans="11:11" x14ac:dyDescent="0.25">
      <c r="K299" t="str">
        <f>IF(AND(F299&lt;&gt;0, B299&lt;&gt;""), MAX($K$1:K298)+1, "")</f>
        <v/>
      </c>
    </row>
    <row r="300" spans="11:11" x14ac:dyDescent="0.25">
      <c r="K300" t="str">
        <f>IF(AND(F300&lt;&gt;0, B300&lt;&gt;""), MAX($K$1:K299)+1, "")</f>
        <v/>
      </c>
    </row>
    <row r="301" spans="11:11" x14ac:dyDescent="0.25">
      <c r="K301" t="str">
        <f>IF(AND(F301&lt;&gt;0, B301&lt;&gt;""), MAX($K$1:K300)+1, "")</f>
        <v/>
      </c>
    </row>
    <row r="302" spans="11:11" x14ac:dyDescent="0.25">
      <c r="K302" t="str">
        <f>IF(AND(F302&lt;&gt;0, B302&lt;&gt;""), MAX($K$1:K301)+1, "")</f>
        <v/>
      </c>
    </row>
    <row r="303" spans="11:11" x14ac:dyDescent="0.25">
      <c r="K303" t="str">
        <f>IF(AND(F303&lt;&gt;0, B303&lt;&gt;""), MAX($K$1:K302)+1, "")</f>
        <v/>
      </c>
    </row>
    <row r="304" spans="11:11" x14ac:dyDescent="0.25">
      <c r="K304" t="str">
        <f>IF(AND(F304&lt;&gt;0, B304&lt;&gt;""), MAX($K$1:K303)+1, "")</f>
        <v/>
      </c>
    </row>
    <row r="305" spans="11:11" x14ac:dyDescent="0.25">
      <c r="K305" t="str">
        <f>IF(AND(F305&lt;&gt;0, B305&lt;&gt;""), MAX($K$1:K304)+1, "")</f>
        <v/>
      </c>
    </row>
    <row r="306" spans="11:11" x14ac:dyDescent="0.25">
      <c r="K306" t="str">
        <f>IF(AND(F306&lt;&gt;0, B306&lt;&gt;""), MAX($K$1:K305)+1, "")</f>
        <v/>
      </c>
    </row>
    <row r="307" spans="11:11" x14ac:dyDescent="0.25">
      <c r="K307" t="str">
        <f>IF(AND(F307&lt;&gt;0, B307&lt;&gt;""), MAX($K$1:K306)+1, "")</f>
        <v/>
      </c>
    </row>
    <row r="308" spans="11:11" x14ac:dyDescent="0.25">
      <c r="K308" t="str">
        <f>IF(AND(F308&lt;&gt;0, B308&lt;&gt;""), MAX($K$1:K307)+1, "")</f>
        <v/>
      </c>
    </row>
    <row r="309" spans="11:11" x14ac:dyDescent="0.25">
      <c r="K309" t="str">
        <f>IF(AND(F309&lt;&gt;0, B309&lt;&gt;""), MAX($K$1:K308)+1, "")</f>
        <v/>
      </c>
    </row>
    <row r="310" spans="11:11" x14ac:dyDescent="0.25">
      <c r="K310" t="str">
        <f>IF(AND(F310&lt;&gt;0, B310&lt;&gt;""), MAX($K$1:K309)+1, "")</f>
        <v/>
      </c>
    </row>
    <row r="311" spans="11:11" x14ac:dyDescent="0.25">
      <c r="K311" t="str">
        <f>IF(AND(F311&lt;&gt;0, B311&lt;&gt;""), MAX($K$1:K310)+1, "")</f>
        <v/>
      </c>
    </row>
    <row r="312" spans="11:11" x14ac:dyDescent="0.25">
      <c r="K312" t="str">
        <f>IF(AND(F312&lt;&gt;0, B312&lt;&gt;""), MAX($K$1:K311)+1, "")</f>
        <v/>
      </c>
    </row>
    <row r="313" spans="11:11" x14ac:dyDescent="0.25">
      <c r="K313" t="str">
        <f>IF(AND(F313&lt;&gt;0, B313&lt;&gt;""), MAX($K$1:K312)+1, "")</f>
        <v/>
      </c>
    </row>
    <row r="314" spans="11:11" x14ac:dyDescent="0.25">
      <c r="K314" t="str">
        <f>IF(AND(F314&lt;&gt;0, B314&lt;&gt;""), MAX($K$1:K313)+1, "")</f>
        <v/>
      </c>
    </row>
    <row r="315" spans="11:11" x14ac:dyDescent="0.25">
      <c r="K315" t="str">
        <f>IF(AND(F315&lt;&gt;0, B315&lt;&gt;""), MAX($K$1:K314)+1, "")</f>
        <v/>
      </c>
    </row>
    <row r="316" spans="11:11" x14ac:dyDescent="0.25">
      <c r="K316" t="str">
        <f>IF(AND(F316&lt;&gt;0, B316&lt;&gt;""), MAX($K$1:K315)+1, "")</f>
        <v/>
      </c>
    </row>
    <row r="317" spans="11:11" x14ac:dyDescent="0.25">
      <c r="K317" t="str">
        <f>IF(AND(F317&lt;&gt;0, B317&lt;&gt;""), MAX($K$1:K316)+1, "")</f>
        <v/>
      </c>
    </row>
    <row r="318" spans="11:11" x14ac:dyDescent="0.25">
      <c r="K318" t="str">
        <f>IF(AND(F318&lt;&gt;0, B318&lt;&gt;""), MAX($K$1:K317)+1, "")</f>
        <v/>
      </c>
    </row>
    <row r="319" spans="11:11" x14ac:dyDescent="0.25">
      <c r="K319" t="str">
        <f>IF(AND(F319&lt;&gt;0, B319&lt;&gt;""), MAX($K$1:K318)+1, "")</f>
        <v/>
      </c>
    </row>
    <row r="320" spans="11:11" x14ac:dyDescent="0.25">
      <c r="K320" t="str">
        <f>IF(AND(F320&lt;&gt;0, B320&lt;&gt;""), MAX($K$1:K319)+1, "")</f>
        <v/>
      </c>
    </row>
    <row r="321" spans="11:11" x14ac:dyDescent="0.25">
      <c r="K321" t="str">
        <f>IF(AND(F321&lt;&gt;0, B321&lt;&gt;""), MAX($K$1:K320)+1, "")</f>
        <v/>
      </c>
    </row>
    <row r="322" spans="11:11" x14ac:dyDescent="0.25">
      <c r="K322" t="str">
        <f>IF(AND(F322&lt;&gt;0, B322&lt;&gt;""), MAX($K$1:K321)+1, "")</f>
        <v/>
      </c>
    </row>
    <row r="323" spans="11:11" x14ac:dyDescent="0.25">
      <c r="K323" t="str">
        <f>IF(AND(F323&lt;&gt;0, B323&lt;&gt;""), MAX($K$1:K322)+1, "")</f>
        <v/>
      </c>
    </row>
    <row r="324" spans="11:11" x14ac:dyDescent="0.25">
      <c r="K324" t="str">
        <f>IF(AND(F324&lt;&gt;0, B324&lt;&gt;""), MAX($K$1:K323)+1, "")</f>
        <v/>
      </c>
    </row>
    <row r="325" spans="11:11" x14ac:dyDescent="0.25">
      <c r="K325" t="str">
        <f>IF(AND(F325&lt;&gt;0, B325&lt;&gt;""), MAX($K$1:K324)+1, "")</f>
        <v/>
      </c>
    </row>
    <row r="326" spans="11:11" x14ac:dyDescent="0.25">
      <c r="K326" t="str">
        <f>IF(AND(F326&lt;&gt;0, B326&lt;&gt;""), MAX($K$1:K325)+1, "")</f>
        <v/>
      </c>
    </row>
    <row r="327" spans="11:11" x14ac:dyDescent="0.25">
      <c r="K327" t="str">
        <f>IF(AND(F327&lt;&gt;0, B327&lt;&gt;""), MAX($K$1:K326)+1, "")</f>
        <v/>
      </c>
    </row>
    <row r="328" spans="11:11" x14ac:dyDescent="0.25">
      <c r="K328" t="str">
        <f>IF(AND(F328&lt;&gt;0, B328&lt;&gt;""), MAX($K$1:K327)+1, "")</f>
        <v/>
      </c>
    </row>
    <row r="329" spans="11:11" x14ac:dyDescent="0.25">
      <c r="K329" t="str">
        <f>IF(AND(F329&lt;&gt;0, B329&lt;&gt;""), MAX($K$1:K328)+1, "")</f>
        <v/>
      </c>
    </row>
    <row r="330" spans="11:11" x14ac:dyDescent="0.25">
      <c r="K330" t="str">
        <f>IF(AND(F330&lt;&gt;0, B330&lt;&gt;""), MAX($K$1:K329)+1, "")</f>
        <v/>
      </c>
    </row>
    <row r="331" spans="11:11" x14ac:dyDescent="0.25">
      <c r="K331" t="str">
        <f>IF(AND(F331&lt;&gt;0, B331&lt;&gt;""), MAX($K$1:K330)+1, "")</f>
        <v/>
      </c>
    </row>
    <row r="332" spans="11:11" x14ac:dyDescent="0.25">
      <c r="K332" t="str">
        <f>IF(AND(F332&lt;&gt;0, B332&lt;&gt;""), MAX($K$1:K331)+1, "")</f>
        <v/>
      </c>
    </row>
    <row r="333" spans="11:11" x14ac:dyDescent="0.25">
      <c r="K333" t="str">
        <f>IF(AND(F333&lt;&gt;0, B333&lt;&gt;""), MAX($K$1:K332)+1, "")</f>
        <v/>
      </c>
    </row>
    <row r="334" spans="11:11" x14ac:dyDescent="0.25">
      <c r="K334" t="str">
        <f>IF(AND(F334&lt;&gt;0, B334&lt;&gt;""), MAX($K$1:K333)+1, "")</f>
        <v/>
      </c>
    </row>
    <row r="335" spans="11:11" x14ac:dyDescent="0.25">
      <c r="K335" t="str">
        <f>IF(AND(F335&lt;&gt;0, B335&lt;&gt;""), MAX($K$1:K334)+1, "")</f>
        <v/>
      </c>
    </row>
    <row r="336" spans="11:11" x14ac:dyDescent="0.25">
      <c r="K336" t="str">
        <f>IF(AND(F336&lt;&gt;0, B336&lt;&gt;""), MAX($K$1:K335)+1, "")</f>
        <v/>
      </c>
    </row>
    <row r="337" spans="11:11" x14ac:dyDescent="0.25">
      <c r="K337" t="str">
        <f>IF(AND(F337&lt;&gt;0, B337&lt;&gt;""), MAX($K$1:K336)+1, "")</f>
        <v/>
      </c>
    </row>
    <row r="338" spans="11:11" x14ac:dyDescent="0.25">
      <c r="K338" t="str">
        <f>IF(AND(F338&lt;&gt;0, B338&lt;&gt;""), MAX($K$1:K337)+1, "")</f>
        <v/>
      </c>
    </row>
    <row r="339" spans="11:11" x14ac:dyDescent="0.25">
      <c r="K339" t="str">
        <f>IF(AND(F339&lt;&gt;0, B339&lt;&gt;""), MAX($K$1:K338)+1, "")</f>
        <v/>
      </c>
    </row>
    <row r="340" spans="11:11" x14ac:dyDescent="0.25">
      <c r="K340" t="str">
        <f>IF(AND(F340&lt;&gt;0, B340&lt;&gt;""), MAX($K$1:K339)+1, "")</f>
        <v/>
      </c>
    </row>
    <row r="341" spans="11:11" x14ac:dyDescent="0.25">
      <c r="K341" t="str">
        <f>IF(AND(F341&lt;&gt;0, B341&lt;&gt;""), MAX($K$1:K340)+1, "")</f>
        <v/>
      </c>
    </row>
    <row r="342" spans="11:11" x14ac:dyDescent="0.25">
      <c r="K342" t="str">
        <f>IF(AND(F342&lt;&gt;0, B342&lt;&gt;""), MAX($K$1:K341)+1, "")</f>
        <v/>
      </c>
    </row>
    <row r="343" spans="11:11" x14ac:dyDescent="0.25">
      <c r="K343" t="str">
        <f>IF(AND(F343&lt;&gt;0, B343&lt;&gt;""), MAX($K$1:K342)+1, "")</f>
        <v/>
      </c>
    </row>
    <row r="344" spans="11:11" x14ac:dyDescent="0.25">
      <c r="K344" t="str">
        <f>IF(AND(F344&lt;&gt;0, B344&lt;&gt;""), MAX($K$1:K343)+1, "")</f>
        <v/>
      </c>
    </row>
    <row r="345" spans="11:11" x14ac:dyDescent="0.25">
      <c r="K345" t="str">
        <f>IF(AND(F345&lt;&gt;0, B345&lt;&gt;""), MAX($K$1:K344)+1, "")</f>
        <v/>
      </c>
    </row>
    <row r="346" spans="11:11" x14ac:dyDescent="0.25">
      <c r="K346" t="str">
        <f>IF(AND(F346&lt;&gt;0, B346&lt;&gt;""), MAX($K$1:K345)+1, "")</f>
        <v/>
      </c>
    </row>
    <row r="347" spans="11:11" x14ac:dyDescent="0.25">
      <c r="K347" t="str">
        <f>IF(AND(F347&lt;&gt;0, B347&lt;&gt;""), MAX($K$1:K346)+1, "")</f>
        <v/>
      </c>
    </row>
    <row r="348" spans="11:11" x14ac:dyDescent="0.25">
      <c r="K348" t="str">
        <f>IF(AND(F348&lt;&gt;0, B348&lt;&gt;""), MAX($K$1:K347)+1, "")</f>
        <v/>
      </c>
    </row>
    <row r="349" spans="11:11" x14ac:dyDescent="0.25">
      <c r="K349" t="str">
        <f>IF(AND(F349&lt;&gt;0, B349&lt;&gt;""), MAX($K$1:K348)+1, "")</f>
        <v/>
      </c>
    </row>
    <row r="350" spans="11:11" x14ac:dyDescent="0.25">
      <c r="K350" t="str">
        <f>IF(AND(F350&lt;&gt;0, B350&lt;&gt;""), MAX($K$1:K349)+1, "")</f>
        <v/>
      </c>
    </row>
    <row r="351" spans="11:11" x14ac:dyDescent="0.25">
      <c r="K351" t="str">
        <f>IF(AND(F351&lt;&gt;0, B351&lt;&gt;""), MAX($K$1:K350)+1, "")</f>
        <v/>
      </c>
    </row>
    <row r="352" spans="11:11" x14ac:dyDescent="0.25">
      <c r="K352" t="str">
        <f>IF(AND(F352&lt;&gt;0, B352&lt;&gt;""), MAX($K$1:K351)+1, "")</f>
        <v/>
      </c>
    </row>
    <row r="353" spans="11:11" x14ac:dyDescent="0.25">
      <c r="K353" t="str">
        <f>IF(AND(F353&lt;&gt;0, B353&lt;&gt;""), MAX($K$1:K352)+1, "")</f>
        <v/>
      </c>
    </row>
    <row r="354" spans="11:11" x14ac:dyDescent="0.25">
      <c r="K354" t="str">
        <f>IF(AND(F354&lt;&gt;0, B354&lt;&gt;""), MAX($K$1:K353)+1, "")</f>
        <v/>
      </c>
    </row>
    <row r="355" spans="11:11" x14ac:dyDescent="0.25">
      <c r="K355" t="str">
        <f>IF(AND(F355&lt;&gt;0, B355&lt;&gt;""), MAX($K$1:K354)+1, "")</f>
        <v/>
      </c>
    </row>
    <row r="356" spans="11:11" x14ac:dyDescent="0.25">
      <c r="K356" t="str">
        <f>IF(AND(F356&lt;&gt;0, B356&lt;&gt;""), MAX($K$1:K355)+1, "")</f>
        <v/>
      </c>
    </row>
    <row r="357" spans="11:11" x14ac:dyDescent="0.25">
      <c r="K357" t="str">
        <f>IF(AND(F357&lt;&gt;0, B357&lt;&gt;""), MAX($K$1:K356)+1, "")</f>
        <v/>
      </c>
    </row>
    <row r="358" spans="11:11" x14ac:dyDescent="0.25">
      <c r="K358" t="str">
        <f>IF(AND(F358&lt;&gt;0, B358&lt;&gt;""), MAX($K$1:K357)+1, "")</f>
        <v/>
      </c>
    </row>
    <row r="359" spans="11:11" x14ac:dyDescent="0.25">
      <c r="K359" t="str">
        <f>IF(AND(F359&lt;&gt;0, B359&lt;&gt;""), MAX($K$1:K358)+1, "")</f>
        <v/>
      </c>
    </row>
    <row r="360" spans="11:11" x14ac:dyDescent="0.25">
      <c r="K360" t="str">
        <f>IF(AND(F360&lt;&gt;0, B360&lt;&gt;""), MAX($K$1:K359)+1, "")</f>
        <v/>
      </c>
    </row>
    <row r="361" spans="11:11" x14ac:dyDescent="0.25">
      <c r="K361" t="str">
        <f>IF(AND(F361&lt;&gt;0, B361&lt;&gt;""), MAX($K$1:K360)+1, "")</f>
        <v/>
      </c>
    </row>
    <row r="362" spans="11:11" x14ac:dyDescent="0.25">
      <c r="K362" t="str">
        <f>IF(AND(F362&lt;&gt;0, B362&lt;&gt;""), MAX($K$1:K361)+1, "")</f>
        <v/>
      </c>
    </row>
    <row r="363" spans="11:11" x14ac:dyDescent="0.25">
      <c r="K363" t="str">
        <f>IF(AND(F363&lt;&gt;0, B363&lt;&gt;""), MAX($K$1:K362)+1, "")</f>
        <v/>
      </c>
    </row>
    <row r="364" spans="11:11" x14ac:dyDescent="0.25">
      <c r="K364" t="str">
        <f>IF(AND(F364&lt;&gt;0, B364&lt;&gt;""), MAX($K$1:K363)+1, "")</f>
        <v/>
      </c>
    </row>
    <row r="365" spans="11:11" x14ac:dyDescent="0.25">
      <c r="K365" t="str">
        <f>IF(AND(F365&lt;&gt;0, B365&lt;&gt;""), MAX($K$1:K364)+1, "")</f>
        <v/>
      </c>
    </row>
    <row r="366" spans="11:11" x14ac:dyDescent="0.25">
      <c r="K366" t="str">
        <f>IF(AND(F366&lt;&gt;0, B366&lt;&gt;""), MAX($K$1:K365)+1, "")</f>
        <v/>
      </c>
    </row>
    <row r="367" spans="11:11" x14ac:dyDescent="0.25">
      <c r="K367" t="str">
        <f>IF(AND(F367&lt;&gt;0, B367&lt;&gt;""), MAX($K$1:K366)+1, "")</f>
        <v/>
      </c>
    </row>
    <row r="368" spans="11:11" x14ac:dyDescent="0.25">
      <c r="K368" t="str">
        <f>IF(AND(F368&lt;&gt;0, B368&lt;&gt;""), MAX($K$1:K367)+1, "")</f>
        <v/>
      </c>
    </row>
    <row r="369" spans="11:11" x14ac:dyDescent="0.25">
      <c r="K369" t="str">
        <f>IF(AND(F369&lt;&gt;0, B369&lt;&gt;""), MAX($K$1:K368)+1, "")</f>
        <v/>
      </c>
    </row>
    <row r="370" spans="11:11" x14ac:dyDescent="0.25">
      <c r="K370" t="str">
        <f>IF(AND(F370&lt;&gt;0, B370&lt;&gt;""), MAX($K$1:K369)+1, "")</f>
        <v/>
      </c>
    </row>
    <row r="371" spans="11:11" x14ac:dyDescent="0.25">
      <c r="K371" t="str">
        <f>IF(AND(F371&lt;&gt;0, B371&lt;&gt;""), MAX($K$1:K370)+1, "")</f>
        <v/>
      </c>
    </row>
    <row r="372" spans="11:11" x14ac:dyDescent="0.25">
      <c r="K372" t="str">
        <f>IF(AND(F372&lt;&gt;0, B372&lt;&gt;""), MAX($K$1:K371)+1, "")</f>
        <v/>
      </c>
    </row>
    <row r="373" spans="11:11" x14ac:dyDescent="0.25">
      <c r="K373" t="str">
        <f>IF(AND(F373&lt;&gt;0, B373&lt;&gt;""), MAX($K$1:K372)+1, "")</f>
        <v/>
      </c>
    </row>
    <row r="374" spans="11:11" x14ac:dyDescent="0.25">
      <c r="K374" t="str">
        <f>IF(AND(F374&lt;&gt;0, B374&lt;&gt;""), MAX($K$1:K373)+1, "")</f>
        <v/>
      </c>
    </row>
    <row r="375" spans="11:11" x14ac:dyDescent="0.25">
      <c r="K375" t="str">
        <f>IF(AND(F375&lt;&gt;0, B375&lt;&gt;""), MAX($K$1:K374)+1, "")</f>
        <v/>
      </c>
    </row>
    <row r="376" spans="11:11" x14ac:dyDescent="0.25">
      <c r="K376" t="str">
        <f>IF(AND(F376&lt;&gt;0, B376&lt;&gt;""), MAX($K$1:K375)+1, "")</f>
        <v/>
      </c>
    </row>
    <row r="377" spans="11:11" x14ac:dyDescent="0.25">
      <c r="K377" t="str">
        <f>IF(AND(F377&lt;&gt;0, B377&lt;&gt;""), MAX($K$1:K376)+1, "")</f>
        <v/>
      </c>
    </row>
    <row r="378" spans="11:11" x14ac:dyDescent="0.25">
      <c r="K378" t="str">
        <f>IF(AND(F378&lt;&gt;0, B378&lt;&gt;""), MAX($K$1:K377)+1, "")</f>
        <v/>
      </c>
    </row>
    <row r="379" spans="11:11" x14ac:dyDescent="0.25">
      <c r="K379" t="str">
        <f>IF(AND(F379&lt;&gt;0, B379&lt;&gt;""), MAX($K$1:K378)+1, "")</f>
        <v/>
      </c>
    </row>
    <row r="380" spans="11:11" x14ac:dyDescent="0.25">
      <c r="K380" t="str">
        <f>IF(AND(F380&lt;&gt;0, B380&lt;&gt;""), MAX($K$1:K379)+1, "")</f>
        <v/>
      </c>
    </row>
    <row r="381" spans="11:11" x14ac:dyDescent="0.25">
      <c r="K381" t="str">
        <f>IF(AND(F381&lt;&gt;0, B381&lt;&gt;""), MAX($K$1:K380)+1, "")</f>
        <v/>
      </c>
    </row>
    <row r="382" spans="11:11" x14ac:dyDescent="0.25">
      <c r="K382" t="str">
        <f>IF(AND(F382&lt;&gt;0, B382&lt;&gt;""), MAX($K$1:K381)+1, "")</f>
        <v/>
      </c>
    </row>
    <row r="383" spans="11:11" x14ac:dyDescent="0.25">
      <c r="K383" t="str">
        <f>IF(AND(F383&lt;&gt;0, B383&lt;&gt;""), MAX($K$1:K382)+1, "")</f>
        <v/>
      </c>
    </row>
    <row r="384" spans="11:11" x14ac:dyDescent="0.25">
      <c r="K384" t="str">
        <f>IF(AND(F384&lt;&gt;0, B384&lt;&gt;""), MAX($K$1:K383)+1, "")</f>
        <v/>
      </c>
    </row>
    <row r="385" spans="11:11" x14ac:dyDescent="0.25">
      <c r="K385" t="str">
        <f>IF(AND(F385&lt;&gt;0, B385&lt;&gt;""), MAX($K$1:K384)+1, "")</f>
        <v/>
      </c>
    </row>
    <row r="386" spans="11:11" x14ac:dyDescent="0.25">
      <c r="K386" t="str">
        <f>IF(AND(F386&lt;&gt;0, B386&lt;&gt;""), MAX($K$1:K385)+1, "")</f>
        <v/>
      </c>
    </row>
    <row r="387" spans="11:11" x14ac:dyDescent="0.25">
      <c r="K387" t="str">
        <f>IF(AND(F387&lt;&gt;0, B387&lt;&gt;""), MAX($K$1:K386)+1, "")</f>
        <v/>
      </c>
    </row>
    <row r="388" spans="11:11" x14ac:dyDescent="0.25">
      <c r="K388" t="str">
        <f>IF(AND(F388&lt;&gt;0, B388&lt;&gt;""), MAX($K$1:K387)+1, "")</f>
        <v/>
      </c>
    </row>
    <row r="389" spans="11:11" x14ac:dyDescent="0.25">
      <c r="K389" t="str">
        <f>IF(AND(F389&lt;&gt;0, B389&lt;&gt;""), MAX($K$1:K388)+1, "")</f>
        <v/>
      </c>
    </row>
    <row r="390" spans="11:11" x14ac:dyDescent="0.25">
      <c r="K390" t="str">
        <f>IF(AND(F390&lt;&gt;0, B390&lt;&gt;""), MAX($K$1:K389)+1, "")</f>
        <v/>
      </c>
    </row>
    <row r="391" spans="11:11" x14ac:dyDescent="0.25">
      <c r="K391" t="str">
        <f>IF(AND(F391&lt;&gt;0, B391&lt;&gt;""), MAX($K$1:K390)+1, "")</f>
        <v/>
      </c>
    </row>
    <row r="392" spans="11:11" x14ac:dyDescent="0.25">
      <c r="K392" t="str">
        <f>IF(AND(F392&lt;&gt;0, B392&lt;&gt;""), MAX($K$1:K391)+1, "")</f>
        <v/>
      </c>
    </row>
    <row r="393" spans="11:11" x14ac:dyDescent="0.25">
      <c r="K393" t="str">
        <f>IF(AND(F393&lt;&gt;0, B393&lt;&gt;""), MAX($K$1:K392)+1, "")</f>
        <v/>
      </c>
    </row>
    <row r="394" spans="11:11" x14ac:dyDescent="0.25">
      <c r="K394" t="str">
        <f>IF(AND(F394&lt;&gt;0, B394&lt;&gt;""), MAX($K$1:K393)+1, "")</f>
        <v/>
      </c>
    </row>
    <row r="395" spans="11:11" x14ac:dyDescent="0.25">
      <c r="K395" t="str">
        <f>IF(AND(F395&lt;&gt;0, B395&lt;&gt;""), MAX($K$1:K394)+1, "")</f>
        <v/>
      </c>
    </row>
    <row r="396" spans="11:11" x14ac:dyDescent="0.25">
      <c r="K396" t="str">
        <f>IF(AND(F396&lt;&gt;0, B396&lt;&gt;""), MAX($K$1:K395)+1, "")</f>
        <v/>
      </c>
    </row>
    <row r="397" spans="11:11" x14ac:dyDescent="0.25">
      <c r="K397" t="str">
        <f>IF(AND(F397&lt;&gt;0, B397&lt;&gt;""), MAX($K$1:K396)+1, "")</f>
        <v/>
      </c>
    </row>
    <row r="398" spans="11:11" x14ac:dyDescent="0.25">
      <c r="K398" t="str">
        <f>IF(AND(F398&lt;&gt;0, B398&lt;&gt;""), MAX($K$1:K397)+1, "")</f>
        <v/>
      </c>
    </row>
    <row r="399" spans="11:11" x14ac:dyDescent="0.25">
      <c r="K399" t="str">
        <f>IF(AND(F399&lt;&gt;0, B399&lt;&gt;""), MAX($K$1:K398)+1, "")</f>
        <v/>
      </c>
    </row>
    <row r="400" spans="11:11" x14ac:dyDescent="0.25">
      <c r="K400" t="str">
        <f>IF(AND(F400&lt;&gt;0, B400&lt;&gt;""), MAX($K$1:K399)+1, "")</f>
        <v/>
      </c>
    </row>
    <row r="401" spans="11:11" x14ac:dyDescent="0.25">
      <c r="K401" t="str">
        <f>IF(AND(F401&lt;&gt;0, B401&lt;&gt;""), MAX($K$1:K400)+1, "")</f>
        <v/>
      </c>
    </row>
    <row r="402" spans="11:11" x14ac:dyDescent="0.25">
      <c r="K402" t="str">
        <f>IF(AND(F402&lt;&gt;0, B402&lt;&gt;""), MAX($K$1:K401)+1, "")</f>
        <v/>
      </c>
    </row>
    <row r="403" spans="11:11" x14ac:dyDescent="0.25">
      <c r="K403" t="str">
        <f>IF(AND(F403&lt;&gt;0, B403&lt;&gt;""), MAX($K$1:K402)+1, "")</f>
        <v/>
      </c>
    </row>
    <row r="404" spans="11:11" x14ac:dyDescent="0.25">
      <c r="K404" t="str">
        <f>IF(AND(F404&lt;&gt;0, B404&lt;&gt;""), MAX($K$1:K403)+1, "")</f>
        <v/>
      </c>
    </row>
    <row r="405" spans="11:11" x14ac:dyDescent="0.25">
      <c r="K405" t="str">
        <f>IF(AND(F405&lt;&gt;0, B405&lt;&gt;""), MAX($K$1:K404)+1, "")</f>
        <v/>
      </c>
    </row>
    <row r="406" spans="11:11" x14ac:dyDescent="0.25">
      <c r="K406" t="str">
        <f>IF(AND(F406&lt;&gt;0, B406&lt;&gt;""), MAX($K$1:K405)+1, "")</f>
        <v/>
      </c>
    </row>
    <row r="407" spans="11:11" x14ac:dyDescent="0.25">
      <c r="K407" t="str">
        <f>IF(AND(F407&lt;&gt;0, B407&lt;&gt;""), MAX($K$1:K406)+1, "")</f>
        <v/>
      </c>
    </row>
    <row r="408" spans="11:11" x14ac:dyDescent="0.25">
      <c r="K408" t="str">
        <f>IF(AND(F408&lt;&gt;0, B408&lt;&gt;""), MAX($K$1:K407)+1, "")</f>
        <v/>
      </c>
    </row>
    <row r="409" spans="11:11" x14ac:dyDescent="0.25">
      <c r="K409" t="str">
        <f>IF(AND(F409&lt;&gt;0, B409&lt;&gt;""), MAX($K$1:K408)+1, "")</f>
        <v/>
      </c>
    </row>
    <row r="410" spans="11:11" x14ac:dyDescent="0.25">
      <c r="K410" t="str">
        <f>IF(AND(F410&lt;&gt;0, B410&lt;&gt;""), MAX($K$1:K409)+1, "")</f>
        <v/>
      </c>
    </row>
    <row r="411" spans="11:11" x14ac:dyDescent="0.25">
      <c r="K411" t="str">
        <f>IF(AND(F411&lt;&gt;0, B411&lt;&gt;""), MAX($K$1:K410)+1, "")</f>
        <v/>
      </c>
    </row>
    <row r="412" spans="11:11" x14ac:dyDescent="0.25">
      <c r="K412" t="str">
        <f>IF(AND(F412&lt;&gt;0, B412&lt;&gt;""), MAX($K$1:K411)+1, "")</f>
        <v/>
      </c>
    </row>
    <row r="413" spans="11:11" x14ac:dyDescent="0.25">
      <c r="K413" t="str">
        <f>IF(AND(F413&lt;&gt;0, B413&lt;&gt;""), MAX($K$1:K412)+1, "")</f>
        <v/>
      </c>
    </row>
    <row r="414" spans="11:11" x14ac:dyDescent="0.25">
      <c r="K414" t="str">
        <f>IF(AND(F414&lt;&gt;0, B414&lt;&gt;""), MAX($K$1:K413)+1, "")</f>
        <v/>
      </c>
    </row>
    <row r="415" spans="11:11" x14ac:dyDescent="0.25">
      <c r="K415" t="str">
        <f>IF(AND(F415&lt;&gt;0, B415&lt;&gt;""), MAX($K$1:K414)+1, "")</f>
        <v/>
      </c>
    </row>
    <row r="416" spans="11:11" x14ac:dyDescent="0.25">
      <c r="K416" t="str">
        <f>IF(AND(F416&lt;&gt;0, B416&lt;&gt;""), MAX($K$1:K415)+1, "")</f>
        <v/>
      </c>
    </row>
    <row r="417" spans="11:11" x14ac:dyDescent="0.25">
      <c r="K417" t="str">
        <f>IF(AND(F417&lt;&gt;0, B417&lt;&gt;""), MAX($K$1:K416)+1, "")</f>
        <v/>
      </c>
    </row>
    <row r="418" spans="11:11" x14ac:dyDescent="0.25">
      <c r="K418" t="str">
        <f>IF(AND(F418&lt;&gt;0, B418&lt;&gt;""), MAX($K$1:K417)+1, "")</f>
        <v/>
      </c>
    </row>
    <row r="419" spans="11:11" x14ac:dyDescent="0.25">
      <c r="K419" t="str">
        <f>IF(AND(F419&lt;&gt;0, B419&lt;&gt;""), MAX($K$1:K418)+1, "")</f>
        <v/>
      </c>
    </row>
    <row r="420" spans="11:11" x14ac:dyDescent="0.25">
      <c r="K420" t="str">
        <f>IF(AND(F420&lt;&gt;0, B420&lt;&gt;""), MAX($K$1:K419)+1, "")</f>
        <v/>
      </c>
    </row>
    <row r="421" spans="11:11" x14ac:dyDescent="0.25">
      <c r="K421" t="str">
        <f>IF(AND(F421&lt;&gt;0, B421&lt;&gt;""), MAX($K$1:K420)+1, "")</f>
        <v/>
      </c>
    </row>
    <row r="422" spans="11:11" x14ac:dyDescent="0.25">
      <c r="K422" t="str">
        <f>IF(AND(F422&lt;&gt;0, B422&lt;&gt;""), MAX($K$1:K421)+1, "")</f>
        <v/>
      </c>
    </row>
    <row r="423" spans="11:11" x14ac:dyDescent="0.25">
      <c r="K423" t="str">
        <f>IF(AND(F423&lt;&gt;0, B423&lt;&gt;""), MAX($K$1:K422)+1, "")</f>
        <v/>
      </c>
    </row>
    <row r="424" spans="11:11" x14ac:dyDescent="0.25">
      <c r="K424" t="str">
        <f>IF(AND(F424&lt;&gt;0, B424&lt;&gt;""), MAX($K$1:K423)+1, "")</f>
        <v/>
      </c>
    </row>
    <row r="425" spans="11:11" x14ac:dyDescent="0.25">
      <c r="K425" t="str">
        <f>IF(AND(F425&lt;&gt;0, B425&lt;&gt;""), MAX($K$1:K424)+1, "")</f>
        <v/>
      </c>
    </row>
    <row r="426" spans="11:11" x14ac:dyDescent="0.25">
      <c r="K426" t="str">
        <f>IF(AND(F426&lt;&gt;0, B426&lt;&gt;""), MAX($K$1:K425)+1, "")</f>
        <v/>
      </c>
    </row>
    <row r="427" spans="11:11" x14ac:dyDescent="0.25">
      <c r="K427" t="str">
        <f>IF(AND(F427&lt;&gt;0, B427&lt;&gt;""), MAX($K$1:K426)+1, "")</f>
        <v/>
      </c>
    </row>
    <row r="428" spans="11:11" x14ac:dyDescent="0.25">
      <c r="K428" t="str">
        <f>IF(AND(F428&lt;&gt;0, B428&lt;&gt;""), MAX($K$1:K427)+1, "")</f>
        <v/>
      </c>
    </row>
    <row r="429" spans="11:11" x14ac:dyDescent="0.25">
      <c r="K429" t="str">
        <f>IF(AND(F429&lt;&gt;0, B429&lt;&gt;""), MAX($K$1:K428)+1, "")</f>
        <v/>
      </c>
    </row>
    <row r="430" spans="11:11" x14ac:dyDescent="0.25">
      <c r="K430" t="str">
        <f>IF(AND(F430&lt;&gt;0, B430&lt;&gt;""), MAX($K$1:K429)+1, "")</f>
        <v/>
      </c>
    </row>
    <row r="431" spans="11:11" x14ac:dyDescent="0.25">
      <c r="K431" t="str">
        <f>IF(AND(F431&lt;&gt;0, B431&lt;&gt;""), MAX($K$1:K430)+1, "")</f>
        <v/>
      </c>
    </row>
    <row r="432" spans="11:11" x14ac:dyDescent="0.25">
      <c r="K432" t="str">
        <f>IF(AND(F432&lt;&gt;0, B432&lt;&gt;""), MAX($K$1:K431)+1, "")</f>
        <v/>
      </c>
    </row>
    <row r="433" spans="11:11" x14ac:dyDescent="0.25">
      <c r="K433" t="str">
        <f>IF(AND(F433&lt;&gt;0, B433&lt;&gt;""), MAX($K$1:K432)+1, "")</f>
        <v/>
      </c>
    </row>
    <row r="434" spans="11:11" x14ac:dyDescent="0.25">
      <c r="K434" t="str">
        <f>IF(AND(F434&lt;&gt;0, B434&lt;&gt;""), MAX($K$1:K433)+1, "")</f>
        <v/>
      </c>
    </row>
    <row r="435" spans="11:11" x14ac:dyDescent="0.25">
      <c r="K435" t="str">
        <f>IF(AND(F435&lt;&gt;0, B435&lt;&gt;""), MAX($K$1:K434)+1, "")</f>
        <v/>
      </c>
    </row>
    <row r="436" spans="11:11" x14ac:dyDescent="0.25">
      <c r="K436" t="str">
        <f>IF(AND(F436&lt;&gt;0, B436&lt;&gt;""), MAX($K$1:K435)+1, "")</f>
        <v/>
      </c>
    </row>
    <row r="437" spans="11:11" x14ac:dyDescent="0.25">
      <c r="K437" t="str">
        <f>IF(AND(F437&lt;&gt;0, B437&lt;&gt;""), MAX($K$1:K436)+1, "")</f>
        <v/>
      </c>
    </row>
    <row r="438" spans="11:11" x14ac:dyDescent="0.25">
      <c r="K438" t="str">
        <f>IF(AND(F438&lt;&gt;0, B438&lt;&gt;""), MAX($K$1:K437)+1, "")</f>
        <v/>
      </c>
    </row>
    <row r="439" spans="11:11" x14ac:dyDescent="0.25">
      <c r="K439" t="str">
        <f>IF(AND(F439&lt;&gt;0, B439&lt;&gt;""), MAX($K$1:K438)+1, "")</f>
        <v/>
      </c>
    </row>
    <row r="440" spans="11:11" x14ac:dyDescent="0.25">
      <c r="K440" t="str">
        <f>IF(AND(F440&lt;&gt;0, B440&lt;&gt;""), MAX($K$1:K439)+1, "")</f>
        <v/>
      </c>
    </row>
    <row r="441" spans="11:11" x14ac:dyDescent="0.25">
      <c r="K441" t="str">
        <f>IF(AND(F441&lt;&gt;0, B441&lt;&gt;""), MAX($K$1:K440)+1, "")</f>
        <v/>
      </c>
    </row>
    <row r="442" spans="11:11" x14ac:dyDescent="0.25">
      <c r="K442" t="str">
        <f>IF(AND(F442&lt;&gt;0, B442&lt;&gt;""), MAX($K$1:K441)+1, "")</f>
        <v/>
      </c>
    </row>
    <row r="443" spans="11:11" x14ac:dyDescent="0.25">
      <c r="K443" t="str">
        <f>IF(AND(F443&lt;&gt;0, B443&lt;&gt;""), MAX($K$1:K442)+1, "")</f>
        <v/>
      </c>
    </row>
    <row r="444" spans="11:11" x14ac:dyDescent="0.25">
      <c r="K444" t="str">
        <f>IF(AND(F444&lt;&gt;0, B444&lt;&gt;""), MAX($K$1:K443)+1, "")</f>
        <v/>
      </c>
    </row>
    <row r="445" spans="11:11" x14ac:dyDescent="0.25">
      <c r="K445" t="str">
        <f>IF(AND(F445&lt;&gt;0, B445&lt;&gt;""), MAX($K$1:K444)+1, "")</f>
        <v/>
      </c>
    </row>
    <row r="446" spans="11:11" x14ac:dyDescent="0.25">
      <c r="K446" t="str">
        <f>IF(AND(F446&lt;&gt;0, B446&lt;&gt;""), MAX($K$1:K445)+1, "")</f>
        <v/>
      </c>
    </row>
    <row r="447" spans="11:11" x14ac:dyDescent="0.25">
      <c r="K447" t="str">
        <f>IF(AND(F447&lt;&gt;0, B447&lt;&gt;""), MAX($K$1:K446)+1, "")</f>
        <v/>
      </c>
    </row>
    <row r="448" spans="11:11" x14ac:dyDescent="0.25">
      <c r="K448" t="str">
        <f>IF(AND(F448&lt;&gt;0, B448&lt;&gt;""), MAX($K$1:K447)+1, "")</f>
        <v/>
      </c>
    </row>
    <row r="449" spans="11:11" x14ac:dyDescent="0.25">
      <c r="K449" t="str">
        <f>IF(AND(F449&lt;&gt;0, B449&lt;&gt;""), MAX($K$1:K448)+1, "")</f>
        <v/>
      </c>
    </row>
    <row r="450" spans="11:11" x14ac:dyDescent="0.25">
      <c r="K450" t="str">
        <f>IF(AND(F450&lt;&gt;0, B450&lt;&gt;""), MAX($K$1:K449)+1, "")</f>
        <v/>
      </c>
    </row>
    <row r="451" spans="11:11" x14ac:dyDescent="0.25">
      <c r="K451" t="str">
        <f>IF(AND(F451&lt;&gt;0, B451&lt;&gt;""), MAX($K$1:K450)+1, "")</f>
        <v/>
      </c>
    </row>
    <row r="452" spans="11:11" x14ac:dyDescent="0.25">
      <c r="K452" t="str">
        <f>IF(AND(F452&lt;&gt;0, B452&lt;&gt;""), MAX($K$1:K451)+1, "")</f>
        <v/>
      </c>
    </row>
    <row r="453" spans="11:11" x14ac:dyDescent="0.25">
      <c r="K453" t="str">
        <f>IF(AND(F453&lt;&gt;0, B453&lt;&gt;""), MAX($K$1:K452)+1, "")</f>
        <v/>
      </c>
    </row>
    <row r="454" spans="11:11" x14ac:dyDescent="0.25">
      <c r="K454" t="str">
        <f>IF(AND(F454&lt;&gt;0, B454&lt;&gt;""), MAX($K$1:K453)+1, "")</f>
        <v/>
      </c>
    </row>
    <row r="455" spans="11:11" x14ac:dyDescent="0.25">
      <c r="K455" t="str">
        <f>IF(AND(F455&lt;&gt;0, B455&lt;&gt;""), MAX($K$1:K454)+1, "")</f>
        <v/>
      </c>
    </row>
    <row r="456" spans="11:11" x14ac:dyDescent="0.25">
      <c r="K456" t="str">
        <f>IF(AND(F456&lt;&gt;0, B456&lt;&gt;""), MAX($K$1:K455)+1, "")</f>
        <v/>
      </c>
    </row>
    <row r="457" spans="11:11" x14ac:dyDescent="0.25">
      <c r="K457" t="str">
        <f>IF(AND(F457&lt;&gt;0, B457&lt;&gt;""), MAX($K$1:K456)+1, "")</f>
        <v/>
      </c>
    </row>
    <row r="458" spans="11:11" x14ac:dyDescent="0.25">
      <c r="K458" t="str">
        <f>IF(AND(F458&lt;&gt;0, B458&lt;&gt;""), MAX($K$1:K457)+1, "")</f>
        <v/>
      </c>
    </row>
    <row r="459" spans="11:11" x14ac:dyDescent="0.25">
      <c r="K459" t="str">
        <f>IF(AND(F459&lt;&gt;0, B459&lt;&gt;""), MAX($K$1:K458)+1, "")</f>
        <v/>
      </c>
    </row>
    <row r="460" spans="11:11" x14ac:dyDescent="0.25">
      <c r="K460" t="str">
        <f>IF(AND(F460&lt;&gt;0, B460&lt;&gt;""), MAX($K$1:K459)+1, "")</f>
        <v/>
      </c>
    </row>
    <row r="461" spans="11:11" x14ac:dyDescent="0.25">
      <c r="K461" t="str">
        <f>IF(AND(F461&lt;&gt;0, B461&lt;&gt;""), MAX($K$1:K460)+1, "")</f>
        <v/>
      </c>
    </row>
    <row r="462" spans="11:11" x14ac:dyDescent="0.25">
      <c r="K462" t="str">
        <f>IF(AND(F462&lt;&gt;0, B462&lt;&gt;""), MAX($K$1:K461)+1, "")</f>
        <v/>
      </c>
    </row>
    <row r="463" spans="11:11" x14ac:dyDescent="0.25">
      <c r="K463" t="str">
        <f>IF(AND(F463&lt;&gt;0, B463&lt;&gt;""), MAX($K$1:K462)+1, "")</f>
        <v/>
      </c>
    </row>
    <row r="464" spans="11:11" x14ac:dyDescent="0.25">
      <c r="K464" t="str">
        <f>IF(AND(F464&lt;&gt;0, B464&lt;&gt;""), MAX($K$1:K463)+1, "")</f>
        <v/>
      </c>
    </row>
    <row r="465" spans="11:11" x14ac:dyDescent="0.25">
      <c r="K465" t="str">
        <f>IF(AND(F465&lt;&gt;0, B465&lt;&gt;""), MAX($K$1:K464)+1, "")</f>
        <v/>
      </c>
    </row>
    <row r="466" spans="11:11" x14ac:dyDescent="0.25">
      <c r="K466" t="str">
        <f>IF(AND(F466&lt;&gt;0, B466&lt;&gt;""), MAX($K$1:K465)+1, "")</f>
        <v/>
      </c>
    </row>
    <row r="467" spans="11:11" x14ac:dyDescent="0.25">
      <c r="K467" t="str">
        <f>IF(AND(F467&lt;&gt;0, B467&lt;&gt;""), MAX($K$1:K466)+1, "")</f>
        <v/>
      </c>
    </row>
    <row r="468" spans="11:11" x14ac:dyDescent="0.25">
      <c r="K468" t="str">
        <f>IF(AND(F468&lt;&gt;0, B468&lt;&gt;""), MAX($K$1:K467)+1, "")</f>
        <v/>
      </c>
    </row>
    <row r="469" spans="11:11" x14ac:dyDescent="0.25">
      <c r="K469" t="str">
        <f>IF(AND(F469&lt;&gt;0, B469&lt;&gt;""), MAX($K$1:K468)+1, "")</f>
        <v/>
      </c>
    </row>
    <row r="470" spans="11:11" x14ac:dyDescent="0.25">
      <c r="K470" t="str">
        <f>IF(AND(F470&lt;&gt;0, B470&lt;&gt;""), MAX($K$1:K469)+1, "")</f>
        <v/>
      </c>
    </row>
    <row r="471" spans="11:11" x14ac:dyDescent="0.25">
      <c r="K471" t="str">
        <f>IF(AND(F471&lt;&gt;0, B471&lt;&gt;""), MAX($K$1:K470)+1, "")</f>
        <v/>
      </c>
    </row>
    <row r="472" spans="11:11" x14ac:dyDescent="0.25">
      <c r="K472" t="str">
        <f>IF(AND(F472&lt;&gt;0, B472&lt;&gt;""), MAX($K$1:K471)+1, "")</f>
        <v/>
      </c>
    </row>
    <row r="473" spans="11:11" x14ac:dyDescent="0.25">
      <c r="K473" t="str">
        <f>IF(AND(F473&lt;&gt;0, B473&lt;&gt;""), MAX($K$1:K472)+1, "")</f>
        <v/>
      </c>
    </row>
    <row r="474" spans="11:11" x14ac:dyDescent="0.25">
      <c r="K474" t="str">
        <f>IF(AND(F474&lt;&gt;0, B474&lt;&gt;""), MAX($K$1:K473)+1, "")</f>
        <v/>
      </c>
    </row>
    <row r="475" spans="11:11" x14ac:dyDescent="0.25">
      <c r="K475" t="str">
        <f>IF(AND(F475&lt;&gt;0, B475&lt;&gt;""), MAX($K$1:K474)+1, "")</f>
        <v/>
      </c>
    </row>
    <row r="476" spans="11:11" x14ac:dyDescent="0.25">
      <c r="K476" t="str">
        <f>IF(AND(F476&lt;&gt;0, B476&lt;&gt;""), MAX($K$1:K475)+1, "")</f>
        <v/>
      </c>
    </row>
    <row r="477" spans="11:11" x14ac:dyDescent="0.25">
      <c r="K477" t="str">
        <f>IF(AND(F477&lt;&gt;0, B477&lt;&gt;""), MAX($K$1:K476)+1, "")</f>
        <v/>
      </c>
    </row>
    <row r="478" spans="11:11" x14ac:dyDescent="0.25">
      <c r="K478" t="str">
        <f>IF(AND(F478&lt;&gt;0, B478&lt;&gt;""), MAX($K$1:K477)+1, "")</f>
        <v/>
      </c>
    </row>
    <row r="479" spans="11:11" x14ac:dyDescent="0.25">
      <c r="K479" t="str">
        <f>IF(AND(F479&lt;&gt;0, B479&lt;&gt;""), MAX($K$1:K478)+1, "")</f>
        <v/>
      </c>
    </row>
    <row r="480" spans="11:11" x14ac:dyDescent="0.25">
      <c r="K480" t="str">
        <f>IF(AND(F480&lt;&gt;0, B480&lt;&gt;""), MAX($K$1:K479)+1, "")</f>
        <v/>
      </c>
    </row>
    <row r="481" spans="11:11" x14ac:dyDescent="0.25">
      <c r="K481" t="str">
        <f>IF(AND(F481&lt;&gt;0, B481&lt;&gt;""), MAX($K$1:K480)+1, "")</f>
        <v/>
      </c>
    </row>
    <row r="482" spans="11:11" x14ac:dyDescent="0.25">
      <c r="K482" t="str">
        <f>IF(AND(F482&lt;&gt;0, B482&lt;&gt;""), MAX($K$1:K481)+1, "")</f>
        <v/>
      </c>
    </row>
    <row r="483" spans="11:11" x14ac:dyDescent="0.25">
      <c r="K483" t="str">
        <f>IF(AND(F483&lt;&gt;0, B483&lt;&gt;""), MAX($K$1:K482)+1, "")</f>
        <v/>
      </c>
    </row>
    <row r="484" spans="11:11" x14ac:dyDescent="0.25">
      <c r="K484" t="str">
        <f>IF(AND(F484&lt;&gt;0, B484&lt;&gt;""), MAX($K$1:K483)+1, "")</f>
        <v/>
      </c>
    </row>
    <row r="485" spans="11:11" x14ac:dyDescent="0.25">
      <c r="K485" t="str">
        <f>IF(AND(F485&lt;&gt;0, B485&lt;&gt;""), MAX($K$1:K484)+1, "")</f>
        <v/>
      </c>
    </row>
    <row r="486" spans="11:11" x14ac:dyDescent="0.25">
      <c r="K486" t="str">
        <f>IF(AND(F486&lt;&gt;0, B486&lt;&gt;""), MAX($K$1:K485)+1, "")</f>
        <v/>
      </c>
    </row>
    <row r="487" spans="11:11" x14ac:dyDescent="0.25">
      <c r="K487" t="str">
        <f>IF(AND(F487&lt;&gt;0, B487&lt;&gt;""), MAX($K$1:K486)+1, "")</f>
        <v/>
      </c>
    </row>
    <row r="488" spans="11:11" x14ac:dyDescent="0.25">
      <c r="K488" t="str">
        <f>IF(AND(F488&lt;&gt;0, B488&lt;&gt;""), MAX($K$1:K487)+1, "")</f>
        <v/>
      </c>
    </row>
    <row r="489" spans="11:11" x14ac:dyDescent="0.25">
      <c r="K489" t="str">
        <f>IF(AND(F489&lt;&gt;0, B489&lt;&gt;""), MAX($K$1:K488)+1, "")</f>
        <v/>
      </c>
    </row>
    <row r="490" spans="11:11" x14ac:dyDescent="0.25">
      <c r="K490" t="str">
        <f>IF(AND(F490&lt;&gt;0, B490&lt;&gt;""), MAX($K$1:K489)+1, "")</f>
        <v/>
      </c>
    </row>
    <row r="491" spans="11:11" x14ac:dyDescent="0.25">
      <c r="K491" t="str">
        <f>IF(AND(F491&lt;&gt;0, B491&lt;&gt;""), MAX($K$1:K490)+1, "")</f>
        <v/>
      </c>
    </row>
    <row r="492" spans="11:11" x14ac:dyDescent="0.25">
      <c r="K492" t="str">
        <f>IF(AND(F492&lt;&gt;0, B492&lt;&gt;""), MAX($K$1:K491)+1, "")</f>
        <v/>
      </c>
    </row>
    <row r="493" spans="11:11" x14ac:dyDescent="0.25">
      <c r="K493" t="str">
        <f>IF(AND(F493&lt;&gt;0, B493&lt;&gt;""), MAX($K$1:K492)+1, "")</f>
        <v/>
      </c>
    </row>
    <row r="494" spans="11:11" x14ac:dyDescent="0.25">
      <c r="K494" t="str">
        <f>IF(AND(F494&lt;&gt;0, B494&lt;&gt;""), MAX($K$1:K493)+1, "")</f>
        <v/>
      </c>
    </row>
    <row r="495" spans="11:11" x14ac:dyDescent="0.25">
      <c r="K495" t="str">
        <f>IF(AND(F495&lt;&gt;0, B495&lt;&gt;""), MAX($K$1:K494)+1, "")</f>
        <v/>
      </c>
    </row>
    <row r="496" spans="11:11" x14ac:dyDescent="0.25">
      <c r="K496" t="str">
        <f>IF(AND(F496&lt;&gt;0, B496&lt;&gt;""), MAX($K$1:K495)+1, "")</f>
        <v/>
      </c>
    </row>
    <row r="497" spans="11:11" x14ac:dyDescent="0.25">
      <c r="K497" t="str">
        <f>IF(AND(F497&lt;&gt;0, B497&lt;&gt;""), MAX($K$1:K496)+1, "")</f>
        <v/>
      </c>
    </row>
    <row r="498" spans="11:11" x14ac:dyDescent="0.25">
      <c r="K498" t="str">
        <f>IF(AND(F498&lt;&gt;0, B498&lt;&gt;""), MAX($K$1:K497)+1, "")</f>
        <v/>
      </c>
    </row>
    <row r="499" spans="11:11" x14ac:dyDescent="0.25">
      <c r="K499" t="str">
        <f>IF(AND(F499&lt;&gt;0, B499&lt;&gt;""), MAX($K$1:K498)+1, "")</f>
        <v/>
      </c>
    </row>
    <row r="500" spans="11:11" x14ac:dyDescent="0.25">
      <c r="K500" t="str">
        <f>IF(AND(F500&lt;&gt;0, B500&lt;&gt;""), MAX($K$1:K499)+1, "")</f>
        <v/>
      </c>
    </row>
    <row r="501" spans="11:11" x14ac:dyDescent="0.25">
      <c r="K501" t="str">
        <f>IF(AND(F501&lt;&gt;0, B501&lt;&gt;""), MAX($K$1:K500)+1, "")</f>
        <v/>
      </c>
    </row>
    <row r="502" spans="11:11" x14ac:dyDescent="0.25">
      <c r="K502" t="str">
        <f>IF(AND(F502&lt;&gt;0, B502&lt;&gt;""), MAX($K$1:K501)+1, "")</f>
        <v/>
      </c>
    </row>
    <row r="503" spans="11:11" x14ac:dyDescent="0.25">
      <c r="K503" t="str">
        <f>IF(AND(F503&lt;&gt;0, B503&lt;&gt;""), MAX($K$1:K502)+1, "")</f>
        <v/>
      </c>
    </row>
    <row r="504" spans="11:11" x14ac:dyDescent="0.25">
      <c r="K504" t="str">
        <f>IF(AND(F504&lt;&gt;0, B504&lt;&gt;""), MAX($K$1:K503)+1, "")</f>
        <v/>
      </c>
    </row>
    <row r="505" spans="11:11" x14ac:dyDescent="0.25">
      <c r="K505" t="str">
        <f>IF(AND(F505&lt;&gt;0, B505&lt;&gt;""), MAX($K$1:K504)+1, "")</f>
        <v/>
      </c>
    </row>
    <row r="506" spans="11:11" x14ac:dyDescent="0.25">
      <c r="K506" t="str">
        <f>IF(AND(F506&lt;&gt;0, B506&lt;&gt;""), MAX($K$1:K505)+1, "")</f>
        <v/>
      </c>
    </row>
    <row r="507" spans="11:11" x14ac:dyDescent="0.25">
      <c r="K507" t="str">
        <f>IF(AND(F507&lt;&gt;0, B507&lt;&gt;""), MAX($K$1:K506)+1, "")</f>
        <v/>
      </c>
    </row>
    <row r="508" spans="11:11" x14ac:dyDescent="0.25">
      <c r="K508" t="str">
        <f>IF(AND(F508&lt;&gt;0, B508&lt;&gt;""), MAX($K$1:K507)+1, "")</f>
        <v/>
      </c>
    </row>
    <row r="509" spans="11:11" x14ac:dyDescent="0.25">
      <c r="K509" t="str">
        <f>IF(AND(F509&lt;&gt;0, B509&lt;&gt;""), MAX($K$1:K508)+1, "")</f>
        <v/>
      </c>
    </row>
    <row r="510" spans="11:11" x14ac:dyDescent="0.25">
      <c r="K510" t="str">
        <f>IF(AND(F510&lt;&gt;0, B510&lt;&gt;""), MAX($K$1:K509)+1, "")</f>
        <v/>
      </c>
    </row>
    <row r="511" spans="11:11" x14ac:dyDescent="0.25">
      <c r="K511" t="str">
        <f>IF(AND(F511&lt;&gt;0, B511&lt;&gt;""), MAX($K$1:K510)+1, "")</f>
        <v/>
      </c>
    </row>
    <row r="512" spans="11:11" x14ac:dyDescent="0.25">
      <c r="K512" t="str">
        <f>IF(AND(F512&lt;&gt;0, B512&lt;&gt;""), MAX($K$1:K511)+1, "")</f>
        <v/>
      </c>
    </row>
    <row r="513" spans="11:11" x14ac:dyDescent="0.25">
      <c r="K513" t="str">
        <f>IF(AND(F513&lt;&gt;0, B513&lt;&gt;""), MAX($K$1:K512)+1, "")</f>
        <v/>
      </c>
    </row>
    <row r="514" spans="11:11" x14ac:dyDescent="0.25">
      <c r="K514" t="str">
        <f>IF(AND(F514&lt;&gt;0, B514&lt;&gt;""), MAX($K$1:K513)+1, "")</f>
        <v/>
      </c>
    </row>
    <row r="515" spans="11:11" x14ac:dyDescent="0.25">
      <c r="K515" t="str">
        <f>IF(AND(F515&lt;&gt;0, B515&lt;&gt;""), MAX($K$1:K514)+1, "")</f>
        <v/>
      </c>
    </row>
    <row r="516" spans="11:11" x14ac:dyDescent="0.25">
      <c r="K516" t="str">
        <f>IF(AND(F516&lt;&gt;0, B516&lt;&gt;""), MAX($K$1:K515)+1, "")</f>
        <v/>
      </c>
    </row>
    <row r="517" spans="11:11" x14ac:dyDescent="0.25">
      <c r="K517" t="str">
        <f>IF(AND(F517&lt;&gt;0, B517&lt;&gt;""), MAX($K$1:K516)+1, "")</f>
        <v/>
      </c>
    </row>
    <row r="518" spans="11:11" x14ac:dyDescent="0.25">
      <c r="K518" t="str">
        <f>IF(AND(F518&lt;&gt;0, B518&lt;&gt;""), MAX($K$1:K517)+1, "")</f>
        <v/>
      </c>
    </row>
    <row r="519" spans="11:11" x14ac:dyDescent="0.25">
      <c r="K519" t="str">
        <f>IF(AND(F519&lt;&gt;0, B519&lt;&gt;""), MAX($K$1:K518)+1, "")</f>
        <v/>
      </c>
    </row>
    <row r="520" spans="11:11" x14ac:dyDescent="0.25">
      <c r="K520" t="str">
        <f>IF(AND(F520&lt;&gt;0, B520&lt;&gt;""), MAX($K$1:K519)+1, "")</f>
        <v/>
      </c>
    </row>
    <row r="521" spans="11:11" x14ac:dyDescent="0.25">
      <c r="K521" t="str">
        <f>IF(AND(F521&lt;&gt;0, B521&lt;&gt;""), MAX($K$1:K520)+1, "")</f>
        <v/>
      </c>
    </row>
    <row r="522" spans="11:11" x14ac:dyDescent="0.25">
      <c r="K522" t="str">
        <f>IF(AND(F522&lt;&gt;0, B522&lt;&gt;""), MAX($K$1:K521)+1, "")</f>
        <v/>
      </c>
    </row>
    <row r="523" spans="11:11" x14ac:dyDescent="0.25">
      <c r="K523" t="str">
        <f>IF(AND(F523&lt;&gt;0, B523&lt;&gt;""), MAX($K$1:K522)+1, "")</f>
        <v/>
      </c>
    </row>
    <row r="524" spans="11:11" x14ac:dyDescent="0.25">
      <c r="K524" t="str">
        <f>IF(AND(F524&lt;&gt;0, B524&lt;&gt;""), MAX($K$1:K523)+1, "")</f>
        <v/>
      </c>
    </row>
    <row r="525" spans="11:11" x14ac:dyDescent="0.25">
      <c r="K525" t="str">
        <f>IF(AND(F525&lt;&gt;0, B525&lt;&gt;""), MAX($K$1:K524)+1, "")</f>
        <v/>
      </c>
    </row>
    <row r="526" spans="11:11" x14ac:dyDescent="0.25">
      <c r="K526" t="str">
        <f>IF(AND(F526&lt;&gt;0, B526&lt;&gt;""), MAX($K$1:K525)+1, "")</f>
        <v/>
      </c>
    </row>
    <row r="527" spans="11:11" x14ac:dyDescent="0.25">
      <c r="K527" t="str">
        <f>IF(AND(F527&lt;&gt;0, B527&lt;&gt;""), MAX($K$1:K526)+1, "")</f>
        <v/>
      </c>
    </row>
    <row r="528" spans="11:11" x14ac:dyDescent="0.25">
      <c r="K528" t="str">
        <f>IF(AND(F528&lt;&gt;0, B528&lt;&gt;""), MAX($K$1:K527)+1, "")</f>
        <v/>
      </c>
    </row>
    <row r="529" spans="11:11" x14ac:dyDescent="0.25">
      <c r="K529" t="str">
        <f>IF(AND(F529&lt;&gt;0, B529&lt;&gt;""), MAX($K$1:K528)+1, "")</f>
        <v/>
      </c>
    </row>
    <row r="530" spans="11:11" x14ac:dyDescent="0.25">
      <c r="K530" t="str">
        <f>IF(AND(F530&lt;&gt;0, B530&lt;&gt;""), MAX($K$1:K529)+1, "")</f>
        <v/>
      </c>
    </row>
    <row r="531" spans="11:11" x14ac:dyDescent="0.25">
      <c r="K531" t="str">
        <f>IF(AND(F531&lt;&gt;0, B531&lt;&gt;""), MAX($K$1:K530)+1, "")</f>
        <v/>
      </c>
    </row>
    <row r="532" spans="11:11" x14ac:dyDescent="0.25">
      <c r="K532" t="str">
        <f>IF(AND(F532&lt;&gt;0, B532&lt;&gt;""), MAX($K$1:K531)+1, "")</f>
        <v/>
      </c>
    </row>
    <row r="533" spans="11:11" x14ac:dyDescent="0.25">
      <c r="K533" t="str">
        <f>IF(AND(F533&lt;&gt;0, B533&lt;&gt;""), MAX($K$1:K532)+1, "")</f>
        <v/>
      </c>
    </row>
    <row r="534" spans="11:11" x14ac:dyDescent="0.25">
      <c r="K534" t="str">
        <f>IF(AND(F534&lt;&gt;0, B534&lt;&gt;""), MAX($K$1:K533)+1, "")</f>
        <v/>
      </c>
    </row>
    <row r="535" spans="11:11" x14ac:dyDescent="0.25">
      <c r="K535" t="str">
        <f>IF(AND(F535&lt;&gt;0, B535&lt;&gt;""), MAX($K$1:K534)+1, "")</f>
        <v/>
      </c>
    </row>
    <row r="536" spans="11:11" x14ac:dyDescent="0.25">
      <c r="K536" t="str">
        <f>IF(AND(F536&lt;&gt;0, B536&lt;&gt;""), MAX($K$1:K535)+1, "")</f>
        <v/>
      </c>
    </row>
    <row r="537" spans="11:11" x14ac:dyDescent="0.25">
      <c r="K537" t="str">
        <f>IF(AND(F537&lt;&gt;0, B537&lt;&gt;""), MAX($K$1:K536)+1, "")</f>
        <v/>
      </c>
    </row>
    <row r="538" spans="11:11" x14ac:dyDescent="0.25">
      <c r="K538" t="str">
        <f>IF(AND(F538&lt;&gt;0, B538&lt;&gt;""), MAX($K$1:K537)+1, "")</f>
        <v/>
      </c>
    </row>
    <row r="539" spans="11:11" x14ac:dyDescent="0.25">
      <c r="K539" t="str">
        <f>IF(AND(F539&lt;&gt;0, B539&lt;&gt;""), MAX($K$1:K538)+1, "")</f>
        <v/>
      </c>
    </row>
    <row r="540" spans="11:11" x14ac:dyDescent="0.25">
      <c r="K540" t="str">
        <f>IF(AND(F540&lt;&gt;0, B540&lt;&gt;""), MAX($K$1:K539)+1, "")</f>
        <v/>
      </c>
    </row>
    <row r="541" spans="11:11" x14ac:dyDescent="0.25">
      <c r="K541" t="str">
        <f>IF(AND(F541&lt;&gt;0, B541&lt;&gt;""), MAX($K$1:K540)+1, "")</f>
        <v/>
      </c>
    </row>
    <row r="542" spans="11:11" x14ac:dyDescent="0.25">
      <c r="K542" t="str">
        <f>IF(AND(F542&lt;&gt;0, B542&lt;&gt;""), MAX($K$1:K541)+1, "")</f>
        <v/>
      </c>
    </row>
    <row r="543" spans="11:11" x14ac:dyDescent="0.25">
      <c r="K543" t="str">
        <f>IF(AND(F543&lt;&gt;0, B543&lt;&gt;""), MAX($K$1:K542)+1, "")</f>
        <v/>
      </c>
    </row>
    <row r="544" spans="11:11" x14ac:dyDescent="0.25">
      <c r="K544" t="str">
        <f>IF(AND(F544&lt;&gt;0, B544&lt;&gt;""), MAX($K$1:K543)+1, "")</f>
        <v/>
      </c>
    </row>
    <row r="545" spans="11:11" x14ac:dyDescent="0.25">
      <c r="K545" t="str">
        <f>IF(AND(F545&lt;&gt;0, B545&lt;&gt;""), MAX($K$1:K544)+1, "")</f>
        <v/>
      </c>
    </row>
    <row r="546" spans="11:11" x14ac:dyDescent="0.25">
      <c r="K546" t="str">
        <f>IF(AND(F546&lt;&gt;0, B546&lt;&gt;""), MAX($K$1:K545)+1, "")</f>
        <v/>
      </c>
    </row>
    <row r="547" spans="11:11" x14ac:dyDescent="0.25">
      <c r="K547" t="str">
        <f>IF(AND(F547&lt;&gt;0, B547&lt;&gt;""), MAX($K$1:K546)+1, "")</f>
        <v/>
      </c>
    </row>
    <row r="548" spans="11:11" x14ac:dyDescent="0.25">
      <c r="K548" t="str">
        <f>IF(AND(F548&lt;&gt;0, B548&lt;&gt;""), MAX($K$1:K547)+1, "")</f>
        <v/>
      </c>
    </row>
    <row r="549" spans="11:11" x14ac:dyDescent="0.25">
      <c r="K549" t="str">
        <f>IF(AND(F549&lt;&gt;0, B549&lt;&gt;""), MAX($K$1:K548)+1, "")</f>
        <v/>
      </c>
    </row>
    <row r="550" spans="11:11" x14ac:dyDescent="0.25">
      <c r="K550" t="str">
        <f>IF(AND(F550&lt;&gt;0, B550&lt;&gt;""), MAX($K$1:K549)+1, "")</f>
        <v/>
      </c>
    </row>
    <row r="551" spans="11:11" x14ac:dyDescent="0.25">
      <c r="K551" t="str">
        <f>IF(AND(F551&lt;&gt;0, B551&lt;&gt;""), MAX($K$1:K550)+1, "")</f>
        <v/>
      </c>
    </row>
    <row r="552" spans="11:11" x14ac:dyDescent="0.25">
      <c r="K552" t="str">
        <f>IF(AND(F552&lt;&gt;0, B552&lt;&gt;""), MAX($K$1:K551)+1, "")</f>
        <v/>
      </c>
    </row>
    <row r="553" spans="11:11" x14ac:dyDescent="0.25">
      <c r="K553" t="str">
        <f>IF(AND(F553&lt;&gt;0, B553&lt;&gt;""), MAX($K$1:K552)+1, "")</f>
        <v/>
      </c>
    </row>
    <row r="554" spans="11:11" x14ac:dyDescent="0.25">
      <c r="K554" t="str">
        <f>IF(AND(F554&lt;&gt;0, B554&lt;&gt;""), MAX($K$1:K553)+1, "")</f>
        <v/>
      </c>
    </row>
    <row r="555" spans="11:11" x14ac:dyDescent="0.25">
      <c r="K555" t="str">
        <f>IF(AND(F555&lt;&gt;0, B555&lt;&gt;""), MAX($K$1:K554)+1, "")</f>
        <v/>
      </c>
    </row>
    <row r="556" spans="11:11" x14ac:dyDescent="0.25">
      <c r="K556" t="str">
        <f>IF(AND(F556&lt;&gt;0, B556&lt;&gt;""), MAX($K$1:K555)+1, "")</f>
        <v/>
      </c>
    </row>
    <row r="557" spans="11:11" x14ac:dyDescent="0.25">
      <c r="K557" t="str">
        <f>IF(AND(F557&lt;&gt;0, B557&lt;&gt;""), MAX($K$1:K556)+1, "")</f>
        <v/>
      </c>
    </row>
    <row r="558" spans="11:11" x14ac:dyDescent="0.25">
      <c r="K558" t="str">
        <f>IF(AND(F558&lt;&gt;0, B558&lt;&gt;""), MAX($K$1:K557)+1, "")</f>
        <v/>
      </c>
    </row>
    <row r="559" spans="11:11" x14ac:dyDescent="0.25">
      <c r="K559" t="str">
        <f>IF(AND(F559&lt;&gt;0, B559&lt;&gt;""), MAX($K$1:K558)+1, "")</f>
        <v/>
      </c>
    </row>
    <row r="560" spans="11:11" x14ac:dyDescent="0.25">
      <c r="K560" t="str">
        <f>IF(AND(F560&lt;&gt;0, B560&lt;&gt;""), MAX($K$1:K559)+1, "")</f>
        <v/>
      </c>
    </row>
    <row r="561" spans="11:11" x14ac:dyDescent="0.25">
      <c r="K561" t="str">
        <f>IF(AND(F561&lt;&gt;0, B561&lt;&gt;""), MAX($K$1:K560)+1, "")</f>
        <v/>
      </c>
    </row>
    <row r="562" spans="11:11" x14ac:dyDescent="0.25">
      <c r="K562" t="str">
        <f>IF(AND(F562&lt;&gt;0, B562&lt;&gt;""), MAX($K$1:K561)+1, "")</f>
        <v/>
      </c>
    </row>
    <row r="563" spans="11:11" x14ac:dyDescent="0.25">
      <c r="K563" t="str">
        <f>IF(AND(F563&lt;&gt;0, B563&lt;&gt;""), MAX($K$1:K562)+1, "")</f>
        <v/>
      </c>
    </row>
    <row r="564" spans="11:11" x14ac:dyDescent="0.25">
      <c r="K564" t="str">
        <f>IF(AND(F564&lt;&gt;0, B564&lt;&gt;""), MAX($K$1:K563)+1, "")</f>
        <v/>
      </c>
    </row>
    <row r="565" spans="11:11" x14ac:dyDescent="0.25">
      <c r="K565" t="str">
        <f>IF(AND(F565&lt;&gt;0, B565&lt;&gt;""), MAX($K$1:K564)+1, "")</f>
        <v/>
      </c>
    </row>
    <row r="566" spans="11:11" x14ac:dyDescent="0.25">
      <c r="K566" t="str">
        <f>IF(AND(F566&lt;&gt;0, B566&lt;&gt;""), MAX($K$1:K565)+1, "")</f>
        <v/>
      </c>
    </row>
    <row r="567" spans="11:11" x14ac:dyDescent="0.25">
      <c r="K567" t="str">
        <f>IF(AND(F567&lt;&gt;0, B567&lt;&gt;""), MAX($K$1:K566)+1, "")</f>
        <v/>
      </c>
    </row>
    <row r="568" spans="11:11" x14ac:dyDescent="0.25">
      <c r="K568" t="str">
        <f>IF(AND(F568&lt;&gt;0, B568&lt;&gt;""), MAX($K$1:K567)+1, "")</f>
        <v/>
      </c>
    </row>
    <row r="569" spans="11:11" x14ac:dyDescent="0.25">
      <c r="K569" t="str">
        <f>IF(AND(F569&lt;&gt;0, B569&lt;&gt;""), MAX($K$1:K568)+1, "")</f>
        <v/>
      </c>
    </row>
    <row r="570" spans="11:11" x14ac:dyDescent="0.25">
      <c r="K570" t="str">
        <f>IF(AND(F570&lt;&gt;0, B570&lt;&gt;""), MAX($K$1:K569)+1, "")</f>
        <v/>
      </c>
    </row>
    <row r="571" spans="11:11" x14ac:dyDescent="0.25">
      <c r="K571" t="str">
        <f>IF(AND(F571&lt;&gt;0, B571&lt;&gt;""), MAX($K$1:K570)+1, "")</f>
        <v/>
      </c>
    </row>
    <row r="572" spans="11:11" x14ac:dyDescent="0.25">
      <c r="K572" t="str">
        <f>IF(AND(F572&lt;&gt;0, B572&lt;&gt;""), MAX($K$1:K571)+1, "")</f>
        <v/>
      </c>
    </row>
    <row r="573" spans="11:11" x14ac:dyDescent="0.25">
      <c r="K573" t="str">
        <f>IF(AND(F573&lt;&gt;0, B573&lt;&gt;""), MAX($K$1:K572)+1, "")</f>
        <v/>
      </c>
    </row>
    <row r="574" spans="11:11" x14ac:dyDescent="0.25">
      <c r="K574" t="str">
        <f>IF(AND(F574&lt;&gt;0, B574&lt;&gt;""), MAX($K$1:K573)+1, "")</f>
        <v/>
      </c>
    </row>
    <row r="575" spans="11:11" x14ac:dyDescent="0.25">
      <c r="K575" t="str">
        <f>IF(AND(F575&lt;&gt;0, B575&lt;&gt;""), MAX($K$1:K574)+1, "")</f>
        <v/>
      </c>
    </row>
    <row r="576" spans="11:11" x14ac:dyDescent="0.25">
      <c r="K576" t="str">
        <f>IF(AND(F576&lt;&gt;0, B576&lt;&gt;""), MAX($K$1:K575)+1, "")</f>
        <v/>
      </c>
    </row>
    <row r="577" spans="11:11" x14ac:dyDescent="0.25">
      <c r="K577" t="str">
        <f>IF(AND(F577&lt;&gt;0, B577&lt;&gt;""), MAX($K$1:K576)+1, "")</f>
        <v/>
      </c>
    </row>
    <row r="578" spans="11:11" x14ac:dyDescent="0.25">
      <c r="K578" t="str">
        <f>IF(AND(F578&lt;&gt;0, B578&lt;&gt;""), MAX($K$1:K577)+1, "")</f>
        <v/>
      </c>
    </row>
    <row r="579" spans="11:11" x14ac:dyDescent="0.25">
      <c r="K579" t="str">
        <f>IF(AND(F579&lt;&gt;0, B579&lt;&gt;""), MAX($K$1:K578)+1, "")</f>
        <v/>
      </c>
    </row>
    <row r="580" spans="11:11" x14ac:dyDescent="0.25">
      <c r="K580" t="str">
        <f>IF(AND(F580&lt;&gt;0, B580&lt;&gt;""), MAX($K$1:K579)+1, "")</f>
        <v/>
      </c>
    </row>
    <row r="581" spans="11:11" x14ac:dyDescent="0.25">
      <c r="K581" t="str">
        <f>IF(AND(F581&lt;&gt;0, B581&lt;&gt;""), MAX($K$1:K580)+1, "")</f>
        <v/>
      </c>
    </row>
    <row r="582" spans="11:11" x14ac:dyDescent="0.25">
      <c r="K582" t="str">
        <f>IF(AND(F582&lt;&gt;0, B582&lt;&gt;""), MAX($K$1:K581)+1, "")</f>
        <v/>
      </c>
    </row>
    <row r="583" spans="11:11" x14ac:dyDescent="0.25">
      <c r="K583" t="str">
        <f>IF(AND(F583&lt;&gt;0, B583&lt;&gt;""), MAX($K$1:K582)+1, "")</f>
        <v/>
      </c>
    </row>
    <row r="584" spans="11:11" x14ac:dyDescent="0.25">
      <c r="K584" t="str">
        <f>IF(AND(F584&lt;&gt;0, B584&lt;&gt;""), MAX($K$1:K583)+1, "")</f>
        <v/>
      </c>
    </row>
    <row r="585" spans="11:11" x14ac:dyDescent="0.25">
      <c r="K585" t="str">
        <f>IF(AND(F585&lt;&gt;0, B585&lt;&gt;""), MAX($K$1:K584)+1, "")</f>
        <v/>
      </c>
    </row>
    <row r="586" spans="11:11" x14ac:dyDescent="0.25">
      <c r="K586" t="str">
        <f>IF(AND(F586&lt;&gt;0, B586&lt;&gt;""), MAX($K$1:K585)+1, "")</f>
        <v/>
      </c>
    </row>
    <row r="587" spans="11:11" x14ac:dyDescent="0.25">
      <c r="K587" t="str">
        <f>IF(AND(F587&lt;&gt;0, B587&lt;&gt;""), MAX($K$1:K586)+1, "")</f>
        <v/>
      </c>
    </row>
    <row r="588" spans="11:11" x14ac:dyDescent="0.25">
      <c r="K588" t="str">
        <f>IF(AND(F588&lt;&gt;0, B588&lt;&gt;""), MAX($K$1:K587)+1, "")</f>
        <v/>
      </c>
    </row>
    <row r="589" spans="11:11" x14ac:dyDescent="0.25">
      <c r="K589" t="str">
        <f>IF(AND(F589&lt;&gt;0, B589&lt;&gt;""), MAX($K$1:K588)+1, "")</f>
        <v/>
      </c>
    </row>
    <row r="590" spans="11:11" x14ac:dyDescent="0.25">
      <c r="K590" t="str">
        <f>IF(AND(F590&lt;&gt;0, B590&lt;&gt;""), MAX($K$1:K589)+1, "")</f>
        <v/>
      </c>
    </row>
    <row r="591" spans="11:11" x14ac:dyDescent="0.25">
      <c r="K591" t="str">
        <f>IF(AND(F591&lt;&gt;0, B591&lt;&gt;""), MAX($K$1:K590)+1, "")</f>
        <v/>
      </c>
    </row>
    <row r="592" spans="11:11" x14ac:dyDescent="0.25">
      <c r="K592" t="str">
        <f>IF(AND(F592&lt;&gt;0, B592&lt;&gt;""), MAX($K$1:K591)+1, "")</f>
        <v/>
      </c>
    </row>
    <row r="593" spans="11:11" x14ac:dyDescent="0.25">
      <c r="K593" t="str">
        <f>IF(AND(F593&lt;&gt;0, B593&lt;&gt;""), MAX($K$1:K592)+1, "")</f>
        <v/>
      </c>
    </row>
    <row r="594" spans="11:11" x14ac:dyDescent="0.25">
      <c r="K594" t="str">
        <f>IF(AND(F594&lt;&gt;0, B594&lt;&gt;""), MAX($K$1:K593)+1, "")</f>
        <v/>
      </c>
    </row>
    <row r="595" spans="11:11" x14ac:dyDescent="0.25">
      <c r="K595" t="str">
        <f>IF(AND(F595&lt;&gt;0, B595&lt;&gt;""), MAX($K$1:K594)+1, "")</f>
        <v/>
      </c>
    </row>
    <row r="596" spans="11:11" x14ac:dyDescent="0.25">
      <c r="K596" t="str">
        <f>IF(AND(F596&lt;&gt;0, B596&lt;&gt;""), MAX($K$1:K595)+1, "")</f>
        <v/>
      </c>
    </row>
    <row r="597" spans="11:11" x14ac:dyDescent="0.25">
      <c r="K597" t="str">
        <f>IF(AND(F597&lt;&gt;0, B597&lt;&gt;""), MAX($K$1:K596)+1, "")</f>
        <v/>
      </c>
    </row>
    <row r="598" spans="11:11" x14ac:dyDescent="0.25">
      <c r="K598" t="str">
        <f>IF(AND(F598&lt;&gt;0, B598&lt;&gt;""), MAX($K$1:K597)+1, "")</f>
        <v/>
      </c>
    </row>
    <row r="599" spans="11:11" x14ac:dyDescent="0.25">
      <c r="K599" t="str">
        <f>IF(AND(F599&lt;&gt;0, B599&lt;&gt;""), MAX($K$1:K598)+1, "")</f>
        <v/>
      </c>
    </row>
    <row r="600" spans="11:11" x14ac:dyDescent="0.25">
      <c r="K600" t="str">
        <f>IF(AND(F600&lt;&gt;0, B600&lt;&gt;""), MAX($K$1:K599)+1, "")</f>
        <v/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6E13-1301-4190-B92B-318D6F543A02}">
  <dimension ref="A1:Q11"/>
  <sheetViews>
    <sheetView tabSelected="1" workbookViewId="0">
      <selection activeCell="F19" sqref="F19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8.28515625" bestFit="1" customWidth="1"/>
    <col min="7" max="7" width="22.85546875" bestFit="1" customWidth="1"/>
    <col min="13" max="13" width="14.5703125" bestFit="1" customWidth="1"/>
    <col min="14" max="14" width="10.42578125" bestFit="1" customWidth="1"/>
    <col min="15" max="15" width="15.28515625" bestFit="1" customWidth="1"/>
    <col min="16" max="16" width="13.5703125" bestFit="1" customWidth="1"/>
    <col min="17" max="17" width="10.140625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tr">
        <f>A1</f>
        <v>Item Name</v>
      </c>
    </row>
    <row r="2" spans="1:17" ht="15.75" thickBot="1" x14ac:dyDescent="0.3">
      <c r="A2" t="s">
        <v>16</v>
      </c>
      <c r="B2" t="s">
        <v>149</v>
      </c>
      <c r="C2" t="s">
        <v>18</v>
      </c>
      <c r="D2" t="s">
        <v>19</v>
      </c>
      <c r="E2">
        <v>100</v>
      </c>
      <c r="F2">
        <v>100</v>
      </c>
      <c r="G2" s="5" t="s">
        <v>20</v>
      </c>
      <c r="H2" s="3" t="s">
        <v>21</v>
      </c>
      <c r="I2" t="s">
        <v>22</v>
      </c>
      <c r="J2" t="s">
        <v>23</v>
      </c>
      <c r="K2" t="s">
        <v>24</v>
      </c>
      <c r="L2" t="s">
        <v>25</v>
      </c>
      <c r="M2" s="6">
        <v>45624</v>
      </c>
      <c r="N2" s="2">
        <v>46171</v>
      </c>
      <c r="O2" t="s">
        <v>26</v>
      </c>
      <c r="P2">
        <v>10</v>
      </c>
      <c r="Q2" s="1" t="str">
        <f t="shared" ref="Q2:Q11" si="0">A2</f>
        <v>Item 001</v>
      </c>
    </row>
    <row r="3" spans="1:17" ht="15.75" thickBot="1" x14ac:dyDescent="0.3">
      <c r="A3" t="s">
        <v>27</v>
      </c>
      <c r="B3" t="s">
        <v>150</v>
      </c>
      <c r="C3" t="s">
        <v>29</v>
      </c>
      <c r="D3" t="s">
        <v>30</v>
      </c>
      <c r="E3">
        <v>100</v>
      </c>
      <c r="F3">
        <v>100</v>
      </c>
      <c r="G3" s="5" t="s">
        <v>31</v>
      </c>
      <c r="H3">
        <v>890000000002</v>
      </c>
      <c r="I3" t="s">
        <v>32</v>
      </c>
      <c r="J3" t="s">
        <v>33</v>
      </c>
      <c r="K3" t="s">
        <v>34</v>
      </c>
      <c r="L3" t="s">
        <v>35</v>
      </c>
      <c r="M3" s="6">
        <v>45625</v>
      </c>
      <c r="N3" s="2">
        <v>46171</v>
      </c>
      <c r="O3" t="s">
        <v>26</v>
      </c>
      <c r="P3">
        <v>10</v>
      </c>
      <c r="Q3" s="1" t="str">
        <f t="shared" si="0"/>
        <v>Item 002</v>
      </c>
    </row>
    <row r="4" spans="1:17" ht="15.75" thickBot="1" x14ac:dyDescent="0.3">
      <c r="A4" t="s">
        <v>36</v>
      </c>
      <c r="B4" t="s">
        <v>151</v>
      </c>
      <c r="C4" t="s">
        <v>38</v>
      </c>
      <c r="D4">
        <v>12</v>
      </c>
      <c r="E4">
        <v>100</v>
      </c>
      <c r="F4">
        <v>100</v>
      </c>
      <c r="G4" s="5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s="6">
        <v>45626</v>
      </c>
      <c r="N4" s="2">
        <v>46171</v>
      </c>
      <c r="O4" t="s">
        <v>26</v>
      </c>
      <c r="P4">
        <v>10</v>
      </c>
      <c r="Q4" s="1" t="str">
        <f t="shared" si="0"/>
        <v>Item 003</v>
      </c>
    </row>
    <row r="5" spans="1:17" ht="15.75" thickBot="1" x14ac:dyDescent="0.3">
      <c r="A5" t="s">
        <v>45</v>
      </c>
      <c r="B5" t="s">
        <v>152</v>
      </c>
      <c r="C5" t="s">
        <v>47</v>
      </c>
      <c r="D5">
        <v>0.22</v>
      </c>
      <c r="E5">
        <v>100</v>
      </c>
      <c r="F5">
        <v>100</v>
      </c>
      <c r="G5" s="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s="2">
        <v>45694</v>
      </c>
      <c r="N5" s="2">
        <v>46171</v>
      </c>
      <c r="O5" t="s">
        <v>26</v>
      </c>
      <c r="P5">
        <v>10</v>
      </c>
      <c r="Q5" s="1" t="str">
        <f t="shared" si="0"/>
        <v>Item 004</v>
      </c>
    </row>
    <row r="6" spans="1:17" ht="15.75" thickBot="1" x14ac:dyDescent="0.3">
      <c r="A6" t="s">
        <v>54</v>
      </c>
      <c r="B6" t="s">
        <v>153</v>
      </c>
      <c r="C6" t="s">
        <v>38</v>
      </c>
      <c r="D6">
        <v>12</v>
      </c>
      <c r="E6">
        <v>100</v>
      </c>
      <c r="F6">
        <v>100</v>
      </c>
      <c r="G6" s="5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s="2">
        <v>45749</v>
      </c>
      <c r="N6" s="2">
        <v>46403</v>
      </c>
      <c r="O6" t="s">
        <v>26</v>
      </c>
      <c r="P6">
        <v>10</v>
      </c>
      <c r="Q6" s="1" t="str">
        <f t="shared" si="0"/>
        <v>Item 005</v>
      </c>
    </row>
    <row r="7" spans="1:17" ht="15.75" thickBot="1" x14ac:dyDescent="0.3">
      <c r="A7" t="s">
        <v>62</v>
      </c>
      <c r="B7" t="s">
        <v>154</v>
      </c>
      <c r="C7" t="s">
        <v>38</v>
      </c>
      <c r="E7">
        <v>100</v>
      </c>
      <c r="F7">
        <v>100</v>
      </c>
      <c r="G7" s="5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s="2">
        <v>45631</v>
      </c>
      <c r="N7" s="2">
        <v>46642</v>
      </c>
      <c r="O7" t="s">
        <v>26</v>
      </c>
      <c r="P7">
        <v>10</v>
      </c>
      <c r="Q7" s="1" t="str">
        <f t="shared" si="0"/>
        <v>Item 006</v>
      </c>
    </row>
    <row r="8" spans="1:17" ht="15.75" thickBot="1" x14ac:dyDescent="0.3">
      <c r="A8" t="s">
        <v>70</v>
      </c>
      <c r="B8" t="s">
        <v>155</v>
      </c>
      <c r="C8" t="s">
        <v>47</v>
      </c>
      <c r="D8" t="s">
        <v>72</v>
      </c>
      <c r="E8">
        <v>100</v>
      </c>
      <c r="F8">
        <v>100</v>
      </c>
      <c r="G8" s="5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s="2">
        <v>45649</v>
      </c>
      <c r="N8" s="2">
        <v>46245</v>
      </c>
      <c r="O8" t="s">
        <v>26</v>
      </c>
      <c r="P8">
        <v>10</v>
      </c>
      <c r="Q8" s="1" t="str">
        <f t="shared" si="0"/>
        <v>Item 007</v>
      </c>
    </row>
    <row r="9" spans="1:17" ht="15.75" thickBot="1" x14ac:dyDescent="0.3">
      <c r="A9" t="s">
        <v>79</v>
      </c>
      <c r="B9" t="s">
        <v>156</v>
      </c>
      <c r="C9" t="s">
        <v>29</v>
      </c>
      <c r="D9" t="s">
        <v>81</v>
      </c>
      <c r="E9">
        <v>100</v>
      </c>
      <c r="F9">
        <v>100</v>
      </c>
      <c r="G9" s="5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s="2">
        <v>45806</v>
      </c>
      <c r="N9" s="2">
        <v>46763</v>
      </c>
      <c r="O9" t="s">
        <v>26</v>
      </c>
      <c r="P9">
        <v>10</v>
      </c>
      <c r="Q9" s="1" t="str">
        <f t="shared" si="0"/>
        <v>Item 008</v>
      </c>
    </row>
    <row r="10" spans="1:17" ht="15.75" thickBot="1" x14ac:dyDescent="0.3">
      <c r="A10" t="s">
        <v>88</v>
      </c>
      <c r="B10" t="s">
        <v>157</v>
      </c>
      <c r="C10" t="s">
        <v>18</v>
      </c>
      <c r="D10" t="s">
        <v>90</v>
      </c>
      <c r="E10">
        <v>100</v>
      </c>
      <c r="F10">
        <v>100</v>
      </c>
      <c r="G10" s="5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s="2">
        <v>45597</v>
      </c>
      <c r="N10" s="2">
        <v>46206</v>
      </c>
      <c r="O10" t="s">
        <v>26</v>
      </c>
      <c r="P10">
        <v>10</v>
      </c>
      <c r="Q10" s="1" t="str">
        <f t="shared" si="0"/>
        <v>Item 009</v>
      </c>
    </row>
    <row r="11" spans="1:17" ht="15.75" thickBot="1" x14ac:dyDescent="0.3">
      <c r="A11" t="s">
        <v>97</v>
      </c>
      <c r="B11" t="s">
        <v>158</v>
      </c>
      <c r="C11" t="s">
        <v>38</v>
      </c>
      <c r="D11" t="s">
        <v>99</v>
      </c>
      <c r="E11">
        <v>100</v>
      </c>
      <c r="F11">
        <v>100</v>
      </c>
      <c r="G11" s="5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s="2">
        <v>45719</v>
      </c>
      <c r="N11" s="2">
        <v>46486</v>
      </c>
      <c r="O11" t="s">
        <v>26</v>
      </c>
      <c r="P11">
        <v>10</v>
      </c>
      <c r="Q11" s="1" t="str">
        <f t="shared" si="0"/>
        <v>Item 010</v>
      </c>
    </row>
  </sheetData>
  <phoneticPr fontId="10" type="noConversion"/>
  <hyperlinks>
    <hyperlink ref="M2" r:id="rId1" display="28@11@2024" xr:uid="{AE6B93AC-3CF3-490F-BE68-FBCA2E80D469}"/>
    <hyperlink ref="M3:M4" r:id="rId2" display="28@11@2024" xr:uid="{78DE1D36-770D-4A99-8AC4-873313C747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</vt:lpstr>
      <vt:lpstr>Sheet1</vt:lpstr>
      <vt:lpstr>AUDITOR_MAPPING</vt:lpstr>
      <vt:lpstr>auditor_1</vt:lpstr>
      <vt:lpstr>auditor_2</vt:lpstr>
      <vt:lpstr>as_table</vt:lpstr>
      <vt:lpstr>auditSummary</vt:lpstr>
      <vt:lpstr>Recently_Audit</vt:lpstr>
      <vt:lpstr>sheet6</vt:lpstr>
      <vt:lpstr>Sheet2</vt:lpstr>
      <vt:lpstr>Recently_Audit!Extract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dines dines</cp:lastModifiedBy>
  <dcterms:created xsi:type="dcterms:W3CDTF">2026-02-21T02:18:10Z</dcterms:created>
  <dcterms:modified xsi:type="dcterms:W3CDTF">2026-04-19T04:16:40Z</dcterms:modified>
</cp:coreProperties>
</file>